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archkszfo.sharepoint.com/sites/ANO_ARCHK_SZFO/Shared Documents/РЦК/Обучение силами РЦК/8. Мониторинг показателей РЦК/"/>
    </mc:Choice>
  </mc:AlternateContent>
  <xr:revisionPtr revIDLastSave="3653" documentId="13_ncr:1_{C7E307B6-628B-4989-8199-E1E2CA07AA2F}" xr6:coauthVersionLast="47" xr6:coauthVersionMax="47" xr10:uidLastSave="{F05535E9-8395-425F-ADEA-21BDA6519910}"/>
  <bookViews>
    <workbookView xWindow="-120" yWindow="-120" windowWidth="29040" windowHeight="15840" firstSheet="1" activeTab="1" xr2:uid="{00000000-000D-0000-FFFF-FFFF00000000}"/>
  </bookViews>
  <sheets>
    <sheet name="графика по среднему НПС" sheetId="1" r:id="rId1"/>
    <sheet name="Статистика НПС по тренингам" sheetId="2" r:id="rId2"/>
    <sheet name="Статистика по тренерам" sheetId="6" r:id="rId3"/>
    <sheet name="Графика НПС по тренерам" sheetId="7" r:id="rId4"/>
    <sheet name="Итого за год" sheetId="18" r:id="rId5"/>
    <sheet name="январь" sheetId="3" r:id="rId6"/>
    <sheet name="февраль" sheetId="4" r:id="rId7"/>
    <sheet name="март" sheetId="5" r:id="rId8"/>
    <sheet name="апрель" sheetId="8" r:id="rId9"/>
    <sheet name="май" sheetId="9" r:id="rId10"/>
    <sheet name="июнь" sheetId="10" r:id="rId11"/>
    <sheet name="июль" sheetId="11" r:id="rId12"/>
    <sheet name="август" sheetId="12" r:id="rId13"/>
    <sheet name="сентябрь" sheetId="13" r:id="rId14"/>
    <sheet name="октябрь" sheetId="14" r:id="rId15"/>
    <sheet name="ноябрь" sheetId="15" r:id="rId16"/>
    <sheet name="декабрь" sheetId="16" r:id="rId17"/>
  </sheets>
  <definedNames>
    <definedName name="_xlnm.Print_Area" localSheetId="0">'графика по среднему НПС'!$A$1:$P$34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" i="16" l="1"/>
  <c r="J6" i="16"/>
  <c r="J5" i="16"/>
  <c r="J4" i="16"/>
  <c r="J3" i="16"/>
  <c r="J2" i="16"/>
  <c r="J1" i="16"/>
  <c r="J8" i="16"/>
  <c r="J8" i="15"/>
  <c r="J7" i="15"/>
  <c r="J6" i="15"/>
  <c r="J5" i="15"/>
  <c r="J4" i="15"/>
  <c r="J3" i="15"/>
  <c r="J2" i="15"/>
  <c r="J20" i="15"/>
  <c r="J19" i="15"/>
  <c r="J18" i="15"/>
  <c r="J17" i="15"/>
  <c r="J16" i="15"/>
  <c r="J15" i="15"/>
  <c r="J27" i="15"/>
  <c r="J31" i="15"/>
  <c r="J10" i="15"/>
  <c r="J9" i="15"/>
  <c r="J26" i="15"/>
  <c r="J25" i="15"/>
  <c r="J14" i="15"/>
  <c r="J34" i="15"/>
  <c r="J24" i="15"/>
  <c r="J23" i="15"/>
  <c r="J29" i="15"/>
  <c r="J13" i="15"/>
  <c r="J12" i="15"/>
  <c r="J22" i="15"/>
  <c r="J21" i="15"/>
  <c r="J11" i="15"/>
  <c r="J1" i="15"/>
  <c r="J33" i="15"/>
  <c r="J32" i="15"/>
  <c r="J28" i="15"/>
  <c r="J30" i="15"/>
  <c r="J43" i="14"/>
  <c r="J9" i="14"/>
  <c r="J1" i="14"/>
  <c r="J8" i="14"/>
  <c r="J7" i="14"/>
  <c r="J3" i="14"/>
  <c r="J5" i="14"/>
  <c r="J32" i="14"/>
  <c r="J23" i="14"/>
  <c r="J21" i="14"/>
  <c r="J11" i="14"/>
  <c r="J15" i="14"/>
  <c r="J44" i="14"/>
  <c r="J6" i="14"/>
  <c r="J2" i="14"/>
  <c r="J38" i="14"/>
  <c r="J41" i="14"/>
  <c r="J31" i="14"/>
  <c r="J40" i="14"/>
  <c r="J42" i="14"/>
  <c r="J20" i="14"/>
  <c r="J19" i="14"/>
  <c r="J24" i="14"/>
  <c r="J13" i="14"/>
  <c r="J12" i="14"/>
  <c r="J10" i="14"/>
  <c r="J14" i="14"/>
  <c r="J4" i="14"/>
  <c r="J34" i="14"/>
  <c r="J28" i="14"/>
  <c r="J26" i="14"/>
  <c r="J36" i="14"/>
  <c r="J30" i="14"/>
  <c r="J25" i="14"/>
  <c r="J35" i="14"/>
  <c r="J33" i="14"/>
  <c r="J27" i="14"/>
  <c r="J29" i="14"/>
  <c r="J39" i="14"/>
  <c r="J16" i="14"/>
  <c r="J45" i="14"/>
  <c r="J46" i="14"/>
  <c r="J18" i="14"/>
  <c r="J17" i="14"/>
  <c r="J22" i="14"/>
  <c r="J37" i="14"/>
  <c r="J1" i="13"/>
  <c r="J2" i="13"/>
  <c r="J3" i="13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51" i="13"/>
  <c r="J52" i="13"/>
  <c r="J53" i="13"/>
  <c r="J54" i="13"/>
  <c r="J55" i="13"/>
  <c r="J56" i="13"/>
  <c r="J57" i="13"/>
  <c r="J58" i="13"/>
  <c r="J59" i="13"/>
  <c r="J60" i="13"/>
  <c r="J61" i="13"/>
  <c r="J62" i="13"/>
  <c r="J63" i="13"/>
  <c r="J64" i="13"/>
  <c r="J65" i="13"/>
  <c r="J66" i="13"/>
  <c r="J67" i="13"/>
  <c r="J68" i="13"/>
  <c r="J69" i="13"/>
  <c r="J70" i="13"/>
  <c r="J71" i="13"/>
  <c r="J72" i="13"/>
  <c r="J73" i="13"/>
  <c r="J20" i="12" l="1"/>
  <c r="J33" i="12"/>
  <c r="J38" i="12"/>
  <c r="J28" i="12"/>
  <c r="J21" i="12"/>
  <c r="J24" i="12"/>
  <c r="J23" i="12"/>
  <c r="J6" i="12"/>
  <c r="J3" i="12"/>
  <c r="J9" i="12"/>
  <c r="J5" i="12"/>
  <c r="J19" i="12"/>
  <c r="J37" i="12"/>
  <c r="J27" i="12"/>
  <c r="J25" i="12"/>
  <c r="J39" i="12"/>
  <c r="J35" i="12"/>
  <c r="J41" i="12"/>
  <c r="J32" i="12"/>
  <c r="J10" i="12"/>
  <c r="J31" i="12"/>
  <c r="J40" i="12"/>
  <c r="J48" i="12"/>
  <c r="J43" i="12"/>
  <c r="J45" i="12"/>
  <c r="J50" i="12"/>
  <c r="J46" i="12"/>
  <c r="J30" i="12"/>
  <c r="J16" i="12"/>
  <c r="J29" i="12"/>
  <c r="J17" i="12"/>
  <c r="J18" i="12"/>
  <c r="J36" i="12"/>
  <c r="J26" i="12"/>
  <c r="J34" i="12"/>
  <c r="J44" i="12"/>
  <c r="J47" i="12"/>
  <c r="J42" i="12"/>
  <c r="J49" i="12"/>
  <c r="J22" i="12"/>
  <c r="J14" i="12"/>
  <c r="J12" i="12"/>
  <c r="J11" i="12"/>
  <c r="J15" i="12"/>
  <c r="J13" i="12"/>
  <c r="J7" i="12"/>
  <c r="J4" i="12"/>
  <c r="J2" i="12"/>
  <c r="J8" i="12"/>
  <c r="J1" i="12"/>
  <c r="F183" i="6"/>
  <c r="F174" i="6"/>
  <c r="J48" i="11" l="1"/>
  <c r="J44" i="11"/>
  <c r="J4" i="11"/>
  <c r="J3" i="11"/>
  <c r="J10" i="11"/>
  <c r="J43" i="11"/>
  <c r="J24" i="11"/>
  <c r="J35" i="11"/>
  <c r="J41" i="11"/>
  <c r="J25" i="11"/>
  <c r="J20" i="11"/>
  <c r="J32" i="11"/>
  <c r="J31" i="11"/>
  <c r="J52" i="11"/>
  <c r="J51" i="11"/>
  <c r="J27" i="11"/>
  <c r="J40" i="11"/>
  <c r="J34" i="11"/>
  <c r="J11" i="11"/>
  <c r="J2" i="11"/>
  <c r="J9" i="11"/>
  <c r="J8" i="11"/>
  <c r="J5" i="11"/>
  <c r="J18" i="11"/>
  <c r="J15" i="11"/>
  <c r="J23" i="11"/>
  <c r="J17" i="11"/>
  <c r="J14" i="11"/>
  <c r="J30" i="11"/>
  <c r="J39" i="11"/>
  <c r="J42" i="11"/>
  <c r="J49" i="11"/>
  <c r="J21" i="11"/>
  <c r="J26" i="11"/>
  <c r="J36" i="11"/>
  <c r="J33" i="11"/>
  <c r="J50" i="11"/>
  <c r="J7" i="11"/>
  <c r="J47" i="11"/>
  <c r="J16" i="11"/>
  <c r="J13" i="11"/>
  <c r="J46" i="11"/>
  <c r="J12" i="11"/>
  <c r="J19" i="11"/>
  <c r="J29" i="11"/>
  <c r="J38" i="11"/>
  <c r="J45" i="11"/>
  <c r="J53" i="11"/>
  <c r="J28" i="11"/>
  <c r="J37" i="11"/>
  <c r="J6" i="11"/>
  <c r="F143" i="6"/>
  <c r="F133" i="6"/>
  <c r="F136" i="6"/>
  <c r="F141" i="6"/>
  <c r="F130" i="6"/>
  <c r="F120" i="6"/>
  <c r="J16" i="10"/>
  <c r="F127" i="6" s="1"/>
  <c r="J34" i="10"/>
  <c r="F145" i="6" s="1"/>
  <c r="J2" i="10"/>
  <c r="J29" i="10"/>
  <c r="J18" i="10"/>
  <c r="F129" i="6" s="1"/>
  <c r="J15" i="10"/>
  <c r="F126" i="6" s="1"/>
  <c r="J36" i="10"/>
  <c r="F147" i="6" s="1"/>
  <c r="J23" i="10"/>
  <c r="J9" i="10"/>
  <c r="J25" i="10"/>
  <c r="F137" i="6" s="1"/>
  <c r="J11" i="10"/>
  <c r="F122" i="6" s="1"/>
  <c r="J4" i="10"/>
  <c r="J30" i="10"/>
  <c r="J20" i="10"/>
  <c r="F131" i="6" s="1"/>
  <c r="J27" i="10"/>
  <c r="F139" i="6" s="1"/>
  <c r="J13" i="10"/>
  <c r="F124" i="6" s="1"/>
  <c r="J5" i="10"/>
  <c r="J31" i="10"/>
  <c r="F142" i="6" s="1"/>
  <c r="J19" i="10"/>
  <c r="J28" i="10"/>
  <c r="F140" i="6" s="1"/>
  <c r="J14" i="10"/>
  <c r="F125" i="6" s="1"/>
  <c r="J6" i="10"/>
  <c r="J21" i="10"/>
  <c r="J8" i="10"/>
  <c r="F119" i="6" s="1"/>
  <c r="J35" i="10"/>
  <c r="F146" i="6" s="1"/>
  <c r="J26" i="10"/>
  <c r="F138" i="6" s="1"/>
  <c r="J12" i="10"/>
  <c r="F123" i="6" s="1"/>
  <c r="J22" i="10"/>
  <c r="F134" i="6" s="1"/>
  <c r="J7" i="10"/>
  <c r="F118" i="6" s="1"/>
  <c r="J24" i="10"/>
  <c r="J10" i="10"/>
  <c r="F116" i="6" s="1"/>
  <c r="J17" i="10"/>
  <c r="F115" i="6" s="1"/>
  <c r="J33" i="10"/>
  <c r="F144" i="6" s="1"/>
  <c r="J3" i="10"/>
  <c r="F114" i="6" s="1"/>
  <c r="J1" i="10"/>
  <c r="F113" i="6"/>
  <c r="F132" i="6" l="1"/>
  <c r="F117" i="6"/>
  <c r="F128" i="6"/>
  <c r="F121" i="6"/>
  <c r="F135" i="6"/>
  <c r="F90" i="6" l="1"/>
  <c r="F89" i="6"/>
  <c r="F88" i="6"/>
  <c r="F87" i="6"/>
  <c r="F86" i="6"/>
  <c r="F85" i="6"/>
  <c r="K1" i="9"/>
  <c r="K26" i="9"/>
  <c r="K27" i="9"/>
  <c r="K28" i="9"/>
  <c r="K21" i="9"/>
  <c r="K22" i="9"/>
  <c r="K25" i="9"/>
  <c r="K23" i="9"/>
  <c r="K24" i="9"/>
  <c r="K20" i="9"/>
  <c r="K14" i="9"/>
  <c r="K12" i="9"/>
  <c r="K15" i="9"/>
  <c r="K13" i="9"/>
  <c r="K19" i="9"/>
  <c r="K18" i="9"/>
  <c r="K16" i="9"/>
  <c r="K9" i="9"/>
  <c r="K11" i="9"/>
  <c r="K8" i="9"/>
  <c r="K10" i="9"/>
  <c r="K6" i="9"/>
  <c r="K7" i="9"/>
  <c r="K5" i="9"/>
  <c r="K4" i="9"/>
  <c r="K2" i="9"/>
  <c r="K3" i="9"/>
  <c r="K6" i="8" l="1"/>
  <c r="K46" i="8"/>
  <c r="K45" i="8"/>
  <c r="K33" i="8"/>
  <c r="K15" i="8"/>
  <c r="K30" i="8"/>
  <c r="K13" i="8"/>
  <c r="K4" i="8"/>
  <c r="K39" i="8"/>
  <c r="K21" i="8"/>
  <c r="K9" i="8"/>
  <c r="K44" i="8"/>
  <c r="K25" i="8"/>
  <c r="K32" i="8"/>
  <c r="K14" i="8"/>
  <c r="K36" i="8"/>
  <c r="K18" i="8"/>
  <c r="K8" i="8"/>
  <c r="K43" i="8"/>
  <c r="K24" i="8"/>
  <c r="K5" i="8"/>
  <c r="K41" i="8"/>
  <c r="K23" i="8"/>
  <c r="K31" i="8"/>
  <c r="K40" i="8"/>
  <c r="K22" i="8"/>
  <c r="K19" i="8"/>
  <c r="K35" i="8"/>
  <c r="K17" i="8"/>
  <c r="K3" i="8"/>
  <c r="K38" i="8"/>
  <c r="K20" i="8"/>
  <c r="K27" i="8"/>
  <c r="K11" i="8"/>
  <c r="K34" i="8"/>
  <c r="K16" i="8"/>
  <c r="K29" i="8"/>
  <c r="K12" i="8"/>
  <c r="K2" i="8"/>
  <c r="K37" i="8"/>
  <c r="K7" i="8"/>
  <c r="K42" i="8"/>
  <c r="K26" i="8"/>
  <c r="K10" i="8"/>
  <c r="K1" i="8"/>
</calcChain>
</file>

<file path=xl/sharedStrings.xml><?xml version="1.0" encoding="utf-8"?>
<sst xmlns="http://schemas.openxmlformats.org/spreadsheetml/2006/main" count="3786" uniqueCount="127">
  <si>
    <t>Тренинги</t>
  </si>
  <si>
    <t>Фабрики процессов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</si>
  <si>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</si>
  <si>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</si>
  <si>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</si>
  <si>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</si>
  <si>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</si>
  <si>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</si>
  <si>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</si>
  <si>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</si>
  <si>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</si>
  <si>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</si>
  <si>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</si>
  <si>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</si>
  <si>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средний за год</t>
  </si>
  <si>
    <t>Туранов Кирилл</t>
  </si>
  <si>
    <t>ОБП</t>
  </si>
  <si>
    <t>ООО "ПО Лузар"</t>
  </si>
  <si>
    <t>Басанцова Надежда</t>
  </si>
  <si>
    <t>РПУ</t>
  </si>
  <si>
    <t>5С</t>
  </si>
  <si>
    <t>ООО "Прогресс-СП"</t>
  </si>
  <si>
    <t>Картирование</t>
  </si>
  <si>
    <t>ПА</t>
  </si>
  <si>
    <t>ООО "Старк-СПб"</t>
  </si>
  <si>
    <t>Уваров Константин</t>
  </si>
  <si>
    <t>ООО "ГСП-Переработка"</t>
  </si>
  <si>
    <t>СР</t>
  </si>
  <si>
    <t>АО</t>
  </si>
  <si>
    <t>СМЕД</t>
  </si>
  <si>
    <t>АО "ЛСР-Краны-Северо-Запад"</t>
  </si>
  <si>
    <t>Название тренинга</t>
  </si>
  <si>
    <t>средний НПС</t>
  </si>
  <si>
    <t>1 модуль</t>
  </si>
  <si>
    <t>2 модуль</t>
  </si>
  <si>
    <t>ОЕЕ</t>
  </si>
  <si>
    <t>МРП</t>
  </si>
  <si>
    <t>ФП/ФОП</t>
  </si>
  <si>
    <t>Месяц</t>
  </si>
  <si>
    <t>День</t>
  </si>
  <si>
    <t>ФИО тренера</t>
  </si>
  <si>
    <t>Тренинг</t>
  </si>
  <si>
    <t>Предприятие</t>
  </si>
  <si>
    <t>NPS</t>
  </si>
  <si>
    <t>Средний NPS</t>
  </si>
  <si>
    <t>Хлебников Александр</t>
  </si>
  <si>
    <t>ООО "Фабрика счастья"</t>
  </si>
  <si>
    <t>ООО "Авентин Инжиниринг"</t>
  </si>
  <si>
    <t>ООО "Красивый город"</t>
  </si>
  <si>
    <t>Басанцова Н.В.</t>
  </si>
  <si>
    <t>Васильева С.В.</t>
  </si>
  <si>
    <t>Туранов К.Д.</t>
  </si>
  <si>
    <t>Уваров К.А.</t>
  </si>
  <si>
    <t>Хлебников А.В.</t>
  </si>
  <si>
    <t>Чуприков С.О.</t>
  </si>
  <si>
    <t>средний NPS</t>
  </si>
  <si>
    <t>ООО "ДизайнИнвест"</t>
  </si>
  <si>
    <t>ООО "Стройкрафт"</t>
  </si>
  <si>
    <t>Васильева Светлана</t>
  </si>
  <si>
    <t>ООО "ГСП Переработка"</t>
  </si>
  <si>
    <t>ООО "Океан"</t>
  </si>
  <si>
    <t>ООО "Новый профиль"</t>
  </si>
  <si>
    <t>АО "НИИ "Нептун"</t>
  </si>
  <si>
    <t>Чуприков Станислав</t>
  </si>
  <si>
    <t>ООО "Родвиг"</t>
  </si>
  <si>
    <t>ООО "ГСП-7"</t>
  </si>
  <si>
    <t>ООО "Арайд"</t>
  </si>
  <si>
    <t>АО "Концерн "МПО-Гидроприбор"</t>
  </si>
  <si>
    <t>ООО "ГАЗСТРОЙТЕХ"</t>
  </si>
  <si>
    <t>ООО "Техмастер"</t>
  </si>
  <si>
    <t>ООО "ЗСК "КВАЛИТЕТ"</t>
  </si>
  <si>
    <t>ООО "КВС-строй"</t>
  </si>
  <si>
    <t>ООО "Балтинвестстрой"</t>
  </si>
  <si>
    <t>ООО "КВС"</t>
  </si>
  <si>
    <t>ООО "ГСП-Технологии"</t>
  </si>
  <si>
    <t>Мет.реш.проблем</t>
  </si>
  <si>
    <t>ООО "Артекс"</t>
  </si>
  <si>
    <t>ООО "Невастройторг"</t>
  </si>
  <si>
    <t>АО "Красный дельфин"</t>
  </si>
  <si>
    <t>ООО "Газстройтех"</t>
  </si>
  <si>
    <t>ООО "Дизайнинвест"</t>
  </si>
  <si>
    <t>ООО "Геоскан"</t>
  </si>
  <si>
    <t>ООО "ВПК-Полимеры"</t>
  </si>
  <si>
    <t>ООО "Светосервис-СПб"</t>
  </si>
  <si>
    <t>SMED</t>
  </si>
  <si>
    <t>ООО "ЕТС Корда"</t>
  </si>
  <si>
    <t>ООО "СК Гидрокор"</t>
  </si>
  <si>
    <t>АО "Диаконт"</t>
  </si>
  <si>
    <t>ООО "Текстиль Легпром"</t>
  </si>
  <si>
    <t>АО "НЭО"</t>
  </si>
  <si>
    <t>Лёвкина Наталья</t>
  </si>
  <si>
    <t>ООО "Интилед"</t>
  </si>
  <si>
    <t>АО "НИИРПИ"</t>
  </si>
  <si>
    <t>ООО "НЛС Силикон"</t>
  </si>
  <si>
    <t>ООО "ГК Миларин"</t>
  </si>
  <si>
    <t>ООО "Миларин"</t>
  </si>
  <si>
    <t>ООО "Мастэнерго"</t>
  </si>
  <si>
    <t>Левкина Н.В.</t>
  </si>
  <si>
    <t>ООО "ТД Калкулейт"</t>
  </si>
  <si>
    <t>ООО "Завод МЗ"</t>
  </si>
  <si>
    <t>ООО "Лаборатория хлеба"</t>
  </si>
  <si>
    <t>ООО "СЦ Телрос"</t>
  </si>
  <si>
    <t>ООО Промстройрегион"</t>
  </si>
  <si>
    <t>ООО "Макро СП"</t>
  </si>
  <si>
    <t>ООО "Коннектор Системс"</t>
  </si>
  <si>
    <t>ООО "Корпорация Ди энд Ди"</t>
  </si>
  <si>
    <t>ООО "Стройкрафт-Отделка"</t>
  </si>
  <si>
    <t>ООО "Газпром Геотехнологии"</t>
  </si>
  <si>
    <t>ООО "НПЦ "Авиационные системы"</t>
  </si>
  <si>
    <t>ООО "Евролюкс Групп"</t>
  </si>
  <si>
    <t>ООО "Типография Печатня"</t>
  </si>
  <si>
    <t>ООО "Фавор-Гарант"</t>
  </si>
  <si>
    <t>ООО "Стройресурс"</t>
  </si>
  <si>
    <t>АО "Котлин-Новатор"</t>
  </si>
  <si>
    <t>ООО "МК Котлин"</t>
  </si>
  <si>
    <t>ООО "Метек-Инжиниринг"</t>
  </si>
  <si>
    <t>АО "НИИВС "Спектр"</t>
  </si>
  <si>
    <t>ООО "Ортос"</t>
  </si>
  <si>
    <t>ООО "Нева Тревел Компани"</t>
  </si>
  <si>
    <t>Осман Александра</t>
  </si>
  <si>
    <t>Осман А.А.</t>
  </si>
  <si>
    <t>Количество тренингов</t>
  </si>
  <si>
    <t>№</t>
  </si>
  <si>
    <t>место в рейтинге</t>
  </si>
  <si>
    <t>Фабрики</t>
  </si>
  <si>
    <t>Статистика NPS по тренингам за 2025 год</t>
  </si>
  <si>
    <t>2025 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</si>
</sst>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* #,##0\ &quot;₽&quot;_-;\-* #,##0\ &quot;₽&quot;_-;_-* &quot;-&quot;\ &quot;₽&quot;_-;_-@_-"/>
    <numFmt numFmtId="41" formatCode="_-* #,##0_-;\-* #,##0_-;_-* &quot;-&quot;_-;_-@_-"/>
    <numFmt numFmtId="44" formatCode="_-* #,##0.00\ &quot;₽&quot;_-;\-* #,##0.00\ &quot;₽&quot;_-;_-* &quot;-&quot;??\ &quot;₽&quot;_-;_-@_-"/>
    <numFmt numFmtId="43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11"/>
      <color rgb="FF9C5700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1"/>
      <name val="Arial"/>
      <family val="2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rgb="FFFF0000"/>
      <name val="Arial"/>
      <family val="2"/>
      <charset val="204"/>
    </font>
    <font>
      <sz val="11"/>
      <color rgb="FF9C6500"/>
      <name val="Arial"/>
      <family val="2"/>
      <charset val="204"/>
    </font>
    <font>
      <b/>
      <sz val="11"/>
      <color rgb="FFFF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FFEB9C"/>
        <bgColor rgb="FFFFEB9C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4" tint="0.79998168889431442"/>
        <bgColor rgb="FFFFEB9C"/>
      </patternFill>
    </fill>
    <fill>
      <patternFill patternType="solid">
        <fgColor theme="0"/>
        <bgColor rgb="FFFFEB9C"/>
      </patternFill>
    </fill>
    <fill>
      <patternFill patternType="solid">
        <fgColor theme="7" tint="0.59999389629810485"/>
        <bgColor rgb="FFFFEB9C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5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auto="1"/>
      </left>
      <right style="thin">
        <color auto="1"/>
      </right>
      <top style="thin">
        <color theme="5" tint="0.3999755851924192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</borders>
  <cellStyleXfs count="83">
    <xf numFmtId="0" fontId="0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5" borderId="0" applyNumberFormat="0" applyBorder="0" applyAlignment="0" applyProtection="0"/>
  </cellStyleXfs>
  <cellXfs count="9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4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9" fontId="4" fillId="8" borderId="2" xfId="82" applyNumberFormat="1" applyFont="1" applyFill="1" applyBorder="1" applyAlignment="1">
      <alignment horizontal="center" vertical="center"/>
    </xf>
    <xf numFmtId="9" fontId="4" fillId="8" borderId="1" xfId="82" applyNumberFormat="1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9" fontId="4" fillId="5" borderId="1" xfId="82" applyNumberFormat="1" applyFont="1" applyBorder="1" applyAlignment="1" applyProtection="1">
      <alignment horizontal="center" vertical="center"/>
      <protection hidden="1"/>
    </xf>
    <xf numFmtId="0" fontId="4" fillId="0" borderId="0" xfId="0" applyFont="1"/>
    <xf numFmtId="0" fontId="6" fillId="0" borderId="3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4" fillId="6" borderId="5" xfId="0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13" borderId="3" xfId="82" applyFont="1" applyFill="1" applyBorder="1" applyAlignment="1" applyProtection="1">
      <alignment horizontal="center" vertical="center"/>
      <protection hidden="1"/>
    </xf>
    <xf numFmtId="0" fontId="5" fillId="13" borderId="1" xfId="82" applyFont="1" applyFill="1" applyBorder="1" applyAlignment="1" applyProtection="1">
      <alignment horizontal="center" vertical="center"/>
      <protection hidden="1"/>
    </xf>
    <xf numFmtId="0" fontId="4" fillId="13" borderId="1" xfId="82" applyFont="1" applyFill="1" applyBorder="1" applyAlignment="1" applyProtection="1">
      <alignment horizontal="center" vertical="center"/>
      <protection hidden="1"/>
    </xf>
    <xf numFmtId="9" fontId="4" fillId="5" borderId="3" xfId="82" applyNumberFormat="1" applyFont="1" applyBorder="1" applyAlignment="1" applyProtection="1">
      <alignment horizontal="center" vertical="center"/>
      <protection hidden="1"/>
    </xf>
    <xf numFmtId="0" fontId="5" fillId="14" borderId="1" xfId="82" applyFont="1" applyFill="1" applyBorder="1" applyAlignment="1" applyProtection="1">
      <alignment horizontal="center" vertical="center"/>
      <protection hidden="1"/>
    </xf>
    <xf numFmtId="0" fontId="4" fillId="14" borderId="1" xfId="82" applyFont="1" applyFill="1" applyBorder="1" applyAlignment="1" applyProtection="1">
      <alignment horizontal="center" vertical="center"/>
      <protection hidden="1"/>
    </xf>
    <xf numFmtId="0" fontId="5" fillId="13" borderId="2" xfId="82" applyFont="1" applyFill="1" applyBorder="1" applyAlignment="1">
      <alignment horizontal="center" vertical="center"/>
    </xf>
    <xf numFmtId="0" fontId="4" fillId="13" borderId="1" xfId="82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9" fontId="4" fillId="15" borderId="1" xfId="82" applyNumberFormat="1" applyFont="1" applyFill="1" applyBorder="1" applyAlignment="1">
      <alignment horizontal="center" vertical="center"/>
    </xf>
    <xf numFmtId="9" fontId="8" fillId="8" borderId="1" xfId="82" applyNumberFormat="1" applyFont="1" applyFill="1" applyBorder="1" applyAlignment="1">
      <alignment horizontal="center" vertical="center"/>
    </xf>
    <xf numFmtId="9" fontId="5" fillId="8" borderId="2" xfId="82" applyNumberFormat="1" applyFont="1" applyFill="1" applyBorder="1" applyAlignment="1">
      <alignment horizontal="center" vertical="center"/>
    </xf>
    <xf numFmtId="9" fontId="5" fillId="8" borderId="1" xfId="82" applyNumberFormat="1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9" fontId="8" fillId="8" borderId="2" xfId="82" applyNumberFormat="1" applyFont="1" applyFill="1" applyBorder="1" applyAlignment="1">
      <alignment horizontal="center" vertical="center"/>
    </xf>
    <xf numFmtId="9" fontId="8" fillId="15" borderId="2" xfId="82" applyNumberFormat="1" applyFont="1" applyFill="1" applyBorder="1" applyAlignment="1">
      <alignment horizontal="center" vertical="center"/>
    </xf>
    <xf numFmtId="9" fontId="4" fillId="15" borderId="2" xfId="82" applyNumberFormat="1" applyFont="1" applyFill="1" applyBorder="1" applyAlignment="1">
      <alignment horizontal="center" vertical="center"/>
    </xf>
    <xf numFmtId="9" fontId="9" fillId="8" borderId="1" xfId="82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9" fontId="4" fillId="15" borderId="1" xfId="82" applyNumberFormat="1" applyFont="1" applyFill="1" applyBorder="1" applyAlignment="1" applyProtection="1">
      <alignment horizontal="center" vertical="center"/>
      <protection hidden="1"/>
    </xf>
    <xf numFmtId="9" fontId="8" fillId="5" borderId="1" xfId="82" applyNumberFormat="1" applyFont="1" applyBorder="1" applyAlignment="1" applyProtection="1">
      <alignment horizontal="center" vertical="center"/>
      <protection hidden="1"/>
    </xf>
    <xf numFmtId="9" fontId="9" fillId="5" borderId="1" xfId="82" applyNumberFormat="1" applyFont="1" applyBorder="1" applyAlignment="1" applyProtection="1">
      <alignment horizontal="center" vertical="center"/>
      <protection hidden="1"/>
    </xf>
    <xf numFmtId="0" fontId="4" fillId="0" borderId="0" xfId="0" applyFont="1" applyAlignment="1">
      <alignment horizontal="center" vertical="center"/>
    </xf>
    <xf numFmtId="9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3" borderId="4" xfId="0" applyFill="1" applyBorder="1"/>
    <xf numFmtId="9" fontId="5" fillId="15" borderId="1" xfId="82" applyNumberFormat="1" applyFont="1" applyFill="1" applyBorder="1" applyAlignment="1">
      <alignment horizontal="center" vertical="center"/>
    </xf>
    <xf numFmtId="9" fontId="0" fillId="16" borderId="1" xfId="0" applyNumberFormat="1" applyFill="1" applyBorder="1"/>
    <xf numFmtId="0" fontId="0" fillId="6" borderId="1" xfId="0" applyFill="1" applyBorder="1"/>
    <xf numFmtId="9" fontId="9" fillId="8" borderId="2" xfId="82" applyNumberFormat="1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4" fontId="6" fillId="7" borderId="1" xfId="0" applyNumberFormat="1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0" fillId="16" borderId="1" xfId="0" applyFill="1" applyBorder="1"/>
    <xf numFmtId="0" fontId="4" fillId="0" borderId="1" xfId="0" applyFont="1" applyBorder="1"/>
    <xf numFmtId="0" fontId="5" fillId="0" borderId="4" xfId="0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wrapText="1"/>
    </xf>
    <xf numFmtId="0" fontId="11" fillId="0" borderId="11" xfId="0" applyFont="1" applyBorder="1" applyAlignment="1">
      <alignment vertical="top"/>
    </xf>
    <xf numFmtId="0" fontId="11" fillId="0" borderId="3" xfId="0" applyFont="1" applyBorder="1"/>
    <xf numFmtId="0" fontId="11" fillId="0" borderId="1" xfId="0" applyFont="1" applyBorder="1"/>
    <xf numFmtId="0" fontId="11" fillId="3" borderId="1" xfId="0" applyFont="1" applyFill="1" applyBorder="1"/>
    <xf numFmtId="0" fontId="11" fillId="0" borderId="1" xfId="0" applyFont="1" applyBorder="1" applyAlignment="1">
      <alignment horizontal="center" vertical="top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12" fillId="0" borderId="0" xfId="0" applyFont="1" applyAlignment="1">
      <alignment horizontal="center"/>
    </xf>
    <xf numFmtId="0" fontId="11" fillId="0" borderId="12" xfId="0" applyFont="1" applyBorder="1" applyAlignment="1">
      <alignment horizontal="center"/>
    </xf>
  </cellXfs>
  <cellStyles count="83">
    <cellStyle name="Comma" xfId="6" xr:uid="{F174A3DB-0098-49DE-ABAF-2E645EEB9D23}"/>
    <cellStyle name="Comma [0]" xfId="7" xr:uid="{E38DA71D-0C14-4DAB-B6E8-A5CAC747AE46}"/>
    <cellStyle name="Comma [0] 10" xfId="79" xr:uid="{1D7436C9-AF2C-4305-A499-084405DB88CF}"/>
    <cellStyle name="Comma [0] 2" xfId="11" xr:uid="{FC472C89-AB42-488E-AE1E-20EB1D0E19B4}"/>
    <cellStyle name="Comma [0] 3" xfId="19" xr:uid="{A4FC2516-9983-41AD-9621-0033111E4F75}"/>
    <cellStyle name="Comma [0] 4" xfId="29" xr:uid="{FCB08FDA-0365-4D80-9F13-01228269909E}"/>
    <cellStyle name="Comma [0] 5" xfId="35" xr:uid="{8FCDC9D6-CB59-4CF3-B29F-BE1F3D6573FF}"/>
    <cellStyle name="Comma [0] 6" xfId="39" xr:uid="{D3584515-A6B0-4702-8B80-99F95B3BE2F3}"/>
    <cellStyle name="Comma [0] 7" xfId="45" xr:uid="{D2D76F1D-029D-40B0-9098-58E0289A84D6}"/>
    <cellStyle name="Comma [0] 8" xfId="59" xr:uid="{2FD09316-263F-4E29-A6C6-8EB3B0D10765}"/>
    <cellStyle name="Comma [0] 9" xfId="71" xr:uid="{B3D9E057-664C-4C7E-A56F-32C2D5D72961}"/>
    <cellStyle name="Comma 10" xfId="31" xr:uid="{DB895720-3612-468D-AEEF-3DC70107BC31}"/>
    <cellStyle name="Comma 11" xfId="34" xr:uid="{3E7A6669-58D0-4EF7-8189-CA5290ED3DDE}"/>
    <cellStyle name="Comma 12" xfId="38" xr:uid="{BDB51D08-86F1-4525-B82F-5BC99602DF5B}"/>
    <cellStyle name="Comma 13" xfId="41" xr:uid="{A7629E67-DC09-4EE7-BE0E-A53D0511965B}"/>
    <cellStyle name="Comma 14" xfId="44" xr:uid="{FDECF6E4-63BA-48D6-A307-D14835195DA2}"/>
    <cellStyle name="Comma 15" xfId="47" xr:uid="{C1682F1F-8D81-4816-9065-79F7D6C65CDB}"/>
    <cellStyle name="Comma 16" xfId="48" xr:uid="{B7973C02-E2D8-400A-BFB5-B9C83EFBD413}"/>
    <cellStyle name="Comma 17" xfId="50" xr:uid="{423754C6-ED25-4A9B-A982-B1170D4F195F}"/>
    <cellStyle name="Comma 18" xfId="52" xr:uid="{D7B66BE0-462B-4D62-B0A8-C1FA53CE2AE4}"/>
    <cellStyle name="Comma 19" xfId="54" xr:uid="{1DD88D6F-FE05-4A63-943F-6D926F9BAC96}"/>
    <cellStyle name="Comma 2" xfId="10" xr:uid="{0CAF1F2C-D9B8-416C-BFDD-8036FAA35424}"/>
    <cellStyle name="Comma 20" xfId="58" xr:uid="{0B6F6B85-A360-467B-9443-879208FBEC34}"/>
    <cellStyle name="Comma 21" xfId="61" xr:uid="{070AC159-C1E3-4496-964F-F161C0A76FBC}"/>
    <cellStyle name="Comma 22" xfId="62" xr:uid="{0461D702-BF88-47D5-8EA7-4C217D26B00B}"/>
    <cellStyle name="Comma 23" xfId="64" xr:uid="{DF946066-311E-47CD-8D97-01C13A5380CD}"/>
    <cellStyle name="Comma 24" xfId="66" xr:uid="{F67240FE-A76B-4C40-BCEB-344FEB472E69}"/>
    <cellStyle name="Comma 25" xfId="70" xr:uid="{B8234095-F57F-4E10-A4D9-E4E8626D789B}"/>
    <cellStyle name="Comma 26" xfId="73" xr:uid="{495DD4C6-F74E-4D69-8315-3E56231164B3}"/>
    <cellStyle name="Comma 27" xfId="74" xr:uid="{B0611C55-862E-4539-B883-954EF5EEDC41}"/>
    <cellStyle name="Comma 28" xfId="78" xr:uid="{1522D09F-9794-42D7-A966-BAA161DA02C8}"/>
    <cellStyle name="Comma 29" xfId="81" xr:uid="{60BA3E76-790E-44A3-AA9E-E788749C23DC}"/>
    <cellStyle name="Comma 3" xfId="13" xr:uid="{4A51A883-99C6-4CC1-9FFD-8BF998316C59}"/>
    <cellStyle name="Comma 4" xfId="14" xr:uid="{FDD33631-0412-48B9-B66B-77D587A276D1}"/>
    <cellStyle name="Comma 5" xfId="18" xr:uid="{070B174F-867A-4A34-95DA-01B5613CB38E}"/>
    <cellStyle name="Comma 6" xfId="21" xr:uid="{79490EC4-C41D-4630-AE3C-19551D85DFA2}"/>
    <cellStyle name="Comma 7" xfId="22" xr:uid="{9C58EC9E-79E9-4C14-8B1B-94950D7F891A}"/>
    <cellStyle name="Comma 8" xfId="24" xr:uid="{60E76C1F-9152-4337-B639-D6E3BDA6EED0}"/>
    <cellStyle name="Comma 9" xfId="28" xr:uid="{B11E56D5-DA85-46F9-A104-C29B0D52EDB7}"/>
    <cellStyle name="Currency" xfId="4" xr:uid="{84F35F4D-899F-43BE-8D4B-0766C52D7C16}"/>
    <cellStyle name="Currency [0]" xfId="5" xr:uid="{F8030EDC-99BA-4B62-BF36-294A4F7D2734}"/>
    <cellStyle name="Currency [0] 10" xfId="77" xr:uid="{70C52B3C-B48E-40D9-8252-D7E34607C781}"/>
    <cellStyle name="Currency [0] 2" xfId="9" xr:uid="{59AFBD18-D1FF-4A40-B159-96199F9BA71D}"/>
    <cellStyle name="Currency [0] 3" xfId="17" xr:uid="{7643F0CE-8C06-4AAC-A045-EFB0DC309E92}"/>
    <cellStyle name="Currency [0] 4" xfId="27" xr:uid="{F4C36C07-760D-4096-A6C2-BB04A5129057}"/>
    <cellStyle name="Currency [0] 5" xfId="33" xr:uid="{A1F51997-68B7-4040-A343-FD7B354CDBE7}"/>
    <cellStyle name="Currency [0] 6" xfId="37" xr:uid="{87580AEC-E127-4CEE-ADBB-5F5196E4D104}"/>
    <cellStyle name="Currency [0] 7" xfId="43" xr:uid="{F2B93487-511C-4F85-874D-4C95F99AEE24}"/>
    <cellStyle name="Currency [0] 8" xfId="57" xr:uid="{465C77A4-CBA1-4337-9BA0-C2D54010CFC6}"/>
    <cellStyle name="Currency [0] 9" xfId="69" xr:uid="{9B9A822D-BCBD-42B3-9F6B-2D682C664086}"/>
    <cellStyle name="Currency 10" xfId="30" xr:uid="{B68BEC36-528A-46A7-90E1-C9F68B89265E}"/>
    <cellStyle name="Currency 11" xfId="32" xr:uid="{BF742079-20A5-4D96-BB8B-5B03B3FD01BC}"/>
    <cellStyle name="Currency 12" xfId="36" xr:uid="{CA879C53-5210-49ED-A8FA-7A838274FC5A}"/>
    <cellStyle name="Currency 13" xfId="40" xr:uid="{F9987B64-A01F-4F45-A294-663CE41E53F3}"/>
    <cellStyle name="Currency 14" xfId="42" xr:uid="{0E5BE0C4-84B7-490F-8ACD-71FDAD88F7F6}"/>
    <cellStyle name="Currency 15" xfId="46" xr:uid="{D6066FB7-A73B-4C96-834A-8D1F323008FE}"/>
    <cellStyle name="Currency 16" xfId="49" xr:uid="{14050B41-326C-49BE-9C33-A057985E05B0}"/>
    <cellStyle name="Currency 17" xfId="51" xr:uid="{06183DC7-92DC-4237-B8F4-5E21410A2C2B}"/>
    <cellStyle name="Currency 18" xfId="53" xr:uid="{3EC83D93-2F29-41DD-AF28-18301987B7ED}"/>
    <cellStyle name="Currency 19" xfId="55" xr:uid="{D5A20CED-EE28-4B90-8EFB-952D5434A1EF}"/>
    <cellStyle name="Currency 2" xfId="8" xr:uid="{08296597-09D1-4BA6-A3CA-F3B173339BC4}"/>
    <cellStyle name="Currency 20" xfId="56" xr:uid="{C655759A-F8E3-4833-8717-FB189690DB31}"/>
    <cellStyle name="Currency 21" xfId="60" xr:uid="{1CFA4D64-CE07-48DA-9E53-CF63441B2593}"/>
    <cellStyle name="Currency 22" xfId="63" xr:uid="{15F2756B-FDEE-4AAE-8EFE-D29D26B9C2CD}"/>
    <cellStyle name="Currency 23" xfId="65" xr:uid="{539741CE-77A6-4ACA-B27D-ACFEAF656124}"/>
    <cellStyle name="Currency 24" xfId="67" xr:uid="{02F97350-15CE-4FCB-B0D8-31790203F45A}"/>
    <cellStyle name="Currency 25" xfId="68" xr:uid="{513999DE-F85B-4F9D-AD1F-7F69A9DBD1EB}"/>
    <cellStyle name="Currency 26" xfId="72" xr:uid="{8BCC41AD-CD0E-43F0-A955-2BA8BD52CB04}"/>
    <cellStyle name="Currency 27" xfId="75" xr:uid="{04B88860-88ED-49AD-955A-C430FFB2088A}"/>
    <cellStyle name="Currency 28" xfId="76" xr:uid="{2F040674-1D7D-4FB3-A2A8-325DB9085C50}"/>
    <cellStyle name="Currency 29" xfId="80" xr:uid="{605BE1E1-207D-4872-8C3E-0668ACA985E8}"/>
    <cellStyle name="Currency 3" xfId="12" xr:uid="{7EAAD694-CE8D-49EC-9ACA-572D1255B77C}"/>
    <cellStyle name="Currency 4" xfId="15" xr:uid="{C246ED8C-5FB8-44C8-AD2C-3ECE36098772}"/>
    <cellStyle name="Currency 5" xfId="16" xr:uid="{14D4344A-FD24-429C-9068-9D42CA2F2E49}"/>
    <cellStyle name="Currency 6" xfId="20" xr:uid="{FA2B79F4-48C9-4F33-8E57-FCA584C5E4DD}"/>
    <cellStyle name="Currency 7" xfId="23" xr:uid="{D8CDBB71-1132-47E8-BF92-347D4D7FBBB0}"/>
    <cellStyle name="Currency 8" xfId="25" xr:uid="{E7757C3A-4935-4D67-8789-E42A574FFA0F}"/>
    <cellStyle name="Currency 9" xfId="26" xr:uid="{8D6B1324-E794-4053-AABC-D7F7A025231A}"/>
    <cellStyle name="Normal" xfId="1" xr:uid="{D7CD9C8F-299B-4306-AB9B-3DCE3CB59F3C}"/>
    <cellStyle name="Percent" xfId="3" xr:uid="{42ACAD1D-B828-463A-B2AF-03E721492064}"/>
    <cellStyle name="Нейтральный" xfId="82" builtinId="28"/>
    <cellStyle name="Обычный" xfId="0" builtinId="0"/>
    <cellStyle name="Обычный 2" xfId="2" xr:uid="{ECB4597C-1DDF-4061-A9FF-88036F4A56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Средний </a:t>
            </a:r>
            <a:r>
              <a:rPr lang="en-US" b="1"/>
              <a:t>NPS </a:t>
            </a:r>
            <a:r>
              <a:rPr lang="ru-RU" b="1"/>
              <a:t>по месяцам</a:t>
            </a:r>
            <a:r>
              <a:rPr lang="ru-RU" b="1" baseline="0"/>
              <a:t> </a:t>
            </a:r>
            <a:r>
              <a:rPr lang="ru-RU" b="1"/>
              <a:t>за</a:t>
            </a:r>
            <a:r>
              <a:rPr lang="ru-RU" b="1" baseline="0"/>
              <a:t> 2025 год</a:t>
            </a:r>
            <a:endParaRPr lang="ru-RU" b="1"/>
          </a:p>
        </c:rich>
      </c:tx>
      <c:layout>
        <c:manualLayout>
          <c:xMode val="edge"/>
          <c:yMode val="edge"/>
          <c:x val="0.22899231167804288"/>
          <c:y val="4.033896164049012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7.2179971810924018E-2"/>
          <c:y val="0.17171296296296296"/>
          <c:w val="0.85191869991583125"/>
          <c:h val="0.5166119860017497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'графика по среднему НПС'!$B$2</c:f>
              <c:strCache>
                <c:ptCount val="1"/>
                <c:pt idx="0">
                  <c:v>Тренинги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'графика по среднему НПС'!$C$1:$N$1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'графика по среднему НПС'!$C$2:$N$2</c:f>
              <c:numCache>
                <c:formatCode>General</c:formatCode>
                <c:ptCount val="12"/>
                <c:pt idx="0">
                  <c:v>92</c:v>
                </c:pt>
                <c:pt idx="1">
                  <c:v>91</c:v>
                </c:pt>
                <c:pt idx="2">
                  <c:v>87</c:v>
                </c:pt>
                <c:pt idx="3">
                  <c:v>83</c:v>
                </c:pt>
                <c:pt idx="4">
                  <c:v>82</c:v>
                </c:pt>
                <c:pt idx="5">
                  <c:v>82</c:v>
                </c:pt>
                <c:pt idx="6">
                  <c:v>84</c:v>
                </c:pt>
                <c:pt idx="7">
                  <c:v>84</c:v>
                </c:pt>
                <c:pt idx="8">
                  <c:v>83</c:v>
                </c:pt>
                <c:pt idx="9">
                  <c:v>85</c:v>
                </c:pt>
                <c:pt idx="10">
                  <c:v>86</c:v>
                </c:pt>
                <c:pt idx="11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13-4E7B-B5BD-BBBB88B8FDE3}"/>
            </c:ext>
          </c:extLst>
        </c:ser>
        <c:ser>
          <c:idx val="1"/>
          <c:order val="1"/>
          <c:tx>
            <c:strRef>
              <c:f>'графика по среднему НПС'!$B$3</c:f>
              <c:strCache>
                <c:ptCount val="1"/>
                <c:pt idx="0">
                  <c:v>Фабрики процессов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'графика по среднему НПС'!$C$1:$N$1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'графика по среднему НПС'!$C$3:$N$3</c:f>
              <c:numCache>
                <c:formatCode>General</c:formatCode>
                <c:ptCount val="12"/>
                <c:pt idx="0">
                  <c:v>60</c:v>
                </c:pt>
                <c:pt idx="1">
                  <c:v>83</c:v>
                </c:pt>
                <c:pt idx="2">
                  <c:v>90</c:v>
                </c:pt>
                <c:pt idx="3">
                  <c:v>99</c:v>
                </c:pt>
                <c:pt idx="4">
                  <c:v>87</c:v>
                </c:pt>
                <c:pt idx="5">
                  <c:v>95</c:v>
                </c:pt>
                <c:pt idx="6">
                  <c:v>88</c:v>
                </c:pt>
                <c:pt idx="7">
                  <c:v>85</c:v>
                </c:pt>
                <c:pt idx="8">
                  <c:v>76</c:v>
                </c:pt>
                <c:pt idx="9">
                  <c:v>97</c:v>
                </c:pt>
                <c:pt idx="10">
                  <c:v>88</c:v>
                </c:pt>
                <c:pt idx="11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13-4E7B-B5BD-BBBB88B8FD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55514255"/>
        <c:axId val="1155520495"/>
      </c:barChart>
      <c:catAx>
        <c:axId val="1155514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5520495"/>
        <c:crosses val="autoZero"/>
        <c:auto val="1"/>
        <c:lblAlgn val="ctr"/>
        <c:lblOffset val="100"/>
        <c:noMultiLvlLbl val="0"/>
      </c:catAx>
      <c:valAx>
        <c:axId val="1155520495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5551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Тенденция</a:t>
            </a:r>
            <a:r>
              <a:rPr lang="ru-RU" b="1" baseline="0"/>
              <a:t> уровня </a:t>
            </a:r>
            <a:r>
              <a:rPr lang="en-US" b="1" baseline="0"/>
              <a:t>NPS</a:t>
            </a:r>
            <a:r>
              <a:rPr lang="ru-RU" b="1" baseline="0"/>
              <a:t> за 2025 год</a:t>
            </a:r>
            <a:endParaRPr lang="ru-RU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5.1977827680486588E-2"/>
          <c:y val="7.0319473523362833E-2"/>
          <c:w val="0.94802217231951336"/>
          <c:h val="0.81190075562049291"/>
        </c:manualLayout>
      </c:layout>
      <c:lineChart>
        <c:grouping val="standard"/>
        <c:varyColors val="0"/>
        <c:ser>
          <c:idx val="0"/>
          <c:order val="0"/>
          <c:tx>
            <c:strRef>
              <c:f>'графика по среднему НПС'!$B$2</c:f>
              <c:strCache>
                <c:ptCount val="1"/>
                <c:pt idx="0">
                  <c:v>Тренинги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'графика по среднему НПС'!$C$2:$N$2</c:f>
              <c:numCache>
                <c:formatCode>General</c:formatCode>
                <c:ptCount val="12"/>
                <c:pt idx="0">
                  <c:v>92</c:v>
                </c:pt>
                <c:pt idx="1">
                  <c:v>91</c:v>
                </c:pt>
                <c:pt idx="2">
                  <c:v>87</c:v>
                </c:pt>
                <c:pt idx="3">
                  <c:v>83</c:v>
                </c:pt>
                <c:pt idx="4">
                  <c:v>82</c:v>
                </c:pt>
                <c:pt idx="5">
                  <c:v>82</c:v>
                </c:pt>
                <c:pt idx="6">
                  <c:v>84</c:v>
                </c:pt>
                <c:pt idx="7">
                  <c:v>84</c:v>
                </c:pt>
                <c:pt idx="8">
                  <c:v>83</c:v>
                </c:pt>
                <c:pt idx="9">
                  <c:v>85</c:v>
                </c:pt>
                <c:pt idx="10">
                  <c:v>86</c:v>
                </c:pt>
                <c:pt idx="11">
                  <c:v>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6E-4D97-B383-B7FE58C49E4A}"/>
            </c:ext>
          </c:extLst>
        </c:ser>
        <c:ser>
          <c:idx val="1"/>
          <c:order val="1"/>
          <c:tx>
            <c:strRef>
              <c:f>'графика по среднему НПС'!$B$3</c:f>
              <c:strCache>
                <c:ptCount val="1"/>
                <c:pt idx="0">
                  <c:v>Фабрики процессов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'графика по среднему НПС'!$C$3:$N$3</c:f>
              <c:numCache>
                <c:formatCode>General</c:formatCode>
                <c:ptCount val="12"/>
                <c:pt idx="0">
                  <c:v>60</c:v>
                </c:pt>
                <c:pt idx="1">
                  <c:v>83</c:v>
                </c:pt>
                <c:pt idx="2">
                  <c:v>90</c:v>
                </c:pt>
                <c:pt idx="3">
                  <c:v>99</c:v>
                </c:pt>
                <c:pt idx="4">
                  <c:v>87</c:v>
                </c:pt>
                <c:pt idx="5">
                  <c:v>95</c:v>
                </c:pt>
                <c:pt idx="6">
                  <c:v>88</c:v>
                </c:pt>
                <c:pt idx="7">
                  <c:v>85</c:v>
                </c:pt>
                <c:pt idx="8">
                  <c:v>76</c:v>
                </c:pt>
                <c:pt idx="9">
                  <c:v>97</c:v>
                </c:pt>
                <c:pt idx="10">
                  <c:v>88</c:v>
                </c:pt>
                <c:pt idx="11">
                  <c:v>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6E-4D97-B383-B7FE58C49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6754143"/>
        <c:axId val="326747903"/>
      </c:lineChart>
      <c:catAx>
        <c:axId val="3267541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6747903"/>
        <c:crosses val="autoZero"/>
        <c:auto val="1"/>
        <c:lblAlgn val="ctr"/>
        <c:lblOffset val="100"/>
        <c:noMultiLvlLbl val="0"/>
      </c:catAx>
      <c:valAx>
        <c:axId val="326747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26754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 orientation="landscape"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/>
              <a:t>Динамика </a:t>
            </a:r>
            <a:r>
              <a:rPr lang="en-US" b="1"/>
              <a:t>NPS</a:t>
            </a:r>
            <a:endParaRPr lang="ru-RU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'Графика НПС по тренерам'!$B$2</c:f>
              <c:strCache>
                <c:ptCount val="1"/>
                <c:pt idx="0">
                  <c:v>Васильева С.В.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'Графика НПС по тренерам'!$C$1:$O$1</c:f>
              <c:strCache>
                <c:ptCount val="13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  <c:pt idx="12">
                  <c:v>средний NPS</c:v>
                </c:pt>
              </c:strCache>
            </c:strRef>
          </c:cat>
          <c:val>
            <c:numRef>
              <c:f>'Графика НПС по тренерам'!$C$2:$O$2</c:f>
              <c:numCache>
                <c:formatCode>General</c:formatCode>
                <c:ptCount val="13"/>
                <c:pt idx="3">
                  <c:v>100</c:v>
                </c:pt>
                <c:pt idx="4">
                  <c:v>82</c:v>
                </c:pt>
                <c:pt idx="5">
                  <c:v>75</c:v>
                </c:pt>
                <c:pt idx="6">
                  <c:v>82</c:v>
                </c:pt>
                <c:pt idx="7">
                  <c:v>81</c:v>
                </c:pt>
                <c:pt idx="8">
                  <c:v>84</c:v>
                </c:pt>
                <c:pt idx="9">
                  <c:v>84</c:v>
                </c:pt>
                <c:pt idx="10">
                  <c:v>90</c:v>
                </c:pt>
                <c:pt idx="12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73-497E-AC43-107107335197}"/>
            </c:ext>
          </c:extLst>
        </c:ser>
        <c:ser>
          <c:idx val="1"/>
          <c:order val="1"/>
          <c:tx>
            <c:strRef>
              <c:f>'Графика НПС по тренерам'!$B$3</c:f>
              <c:strCache>
                <c:ptCount val="1"/>
                <c:pt idx="0">
                  <c:v>Басанцова Н.В.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'Графика НПС по тренерам'!$C$1:$O$1</c:f>
              <c:strCache>
                <c:ptCount val="13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  <c:pt idx="12">
                  <c:v>средний NPS</c:v>
                </c:pt>
              </c:strCache>
            </c:strRef>
          </c:cat>
          <c:val>
            <c:numRef>
              <c:f>'Графика НПС по тренерам'!$C$3:$O$3</c:f>
              <c:numCache>
                <c:formatCode>General</c:formatCode>
                <c:ptCount val="13"/>
                <c:pt idx="0">
                  <c:v>88</c:v>
                </c:pt>
                <c:pt idx="1">
                  <c:v>91</c:v>
                </c:pt>
                <c:pt idx="2">
                  <c:v>83</c:v>
                </c:pt>
                <c:pt idx="3">
                  <c:v>83</c:v>
                </c:pt>
                <c:pt idx="4">
                  <c:v>81</c:v>
                </c:pt>
                <c:pt idx="5">
                  <c:v>77</c:v>
                </c:pt>
                <c:pt idx="6">
                  <c:v>84</c:v>
                </c:pt>
                <c:pt idx="7">
                  <c:v>84</c:v>
                </c:pt>
                <c:pt idx="8">
                  <c:v>84</c:v>
                </c:pt>
                <c:pt idx="9">
                  <c:v>80</c:v>
                </c:pt>
                <c:pt idx="10">
                  <c:v>86</c:v>
                </c:pt>
                <c:pt idx="11">
                  <c:v>100</c:v>
                </c:pt>
                <c:pt idx="12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73-497E-AC43-107107335197}"/>
            </c:ext>
          </c:extLst>
        </c:ser>
        <c:ser>
          <c:idx val="2"/>
          <c:order val="2"/>
          <c:tx>
            <c:strRef>
              <c:f>'Графика НПС по тренерам'!$B$4</c:f>
              <c:strCache>
                <c:ptCount val="1"/>
                <c:pt idx="0">
                  <c:v>Туранов К.Д.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'Графика НПС по тренерам'!$C$1:$O$1</c:f>
              <c:strCache>
                <c:ptCount val="13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  <c:pt idx="12">
                  <c:v>средний NPS</c:v>
                </c:pt>
              </c:strCache>
            </c:strRef>
          </c:cat>
          <c:val>
            <c:numRef>
              <c:f>'Графика НПС по тренерам'!$C$4:$O$4</c:f>
              <c:numCache>
                <c:formatCode>General</c:formatCode>
                <c:ptCount val="13"/>
                <c:pt idx="0">
                  <c:v>96</c:v>
                </c:pt>
                <c:pt idx="1">
                  <c:v>88</c:v>
                </c:pt>
                <c:pt idx="2">
                  <c:v>100</c:v>
                </c:pt>
                <c:pt idx="3">
                  <c:v>85</c:v>
                </c:pt>
                <c:pt idx="4">
                  <c:v>84</c:v>
                </c:pt>
                <c:pt idx="5">
                  <c:v>76</c:v>
                </c:pt>
                <c:pt idx="6">
                  <c:v>89</c:v>
                </c:pt>
                <c:pt idx="7">
                  <c:v>74</c:v>
                </c:pt>
                <c:pt idx="8">
                  <c:v>83</c:v>
                </c:pt>
                <c:pt idx="9">
                  <c:v>92</c:v>
                </c:pt>
                <c:pt idx="10">
                  <c:v>94</c:v>
                </c:pt>
                <c:pt idx="12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773-497E-AC43-107107335197}"/>
            </c:ext>
          </c:extLst>
        </c:ser>
        <c:ser>
          <c:idx val="3"/>
          <c:order val="3"/>
          <c:tx>
            <c:strRef>
              <c:f>'Графика НПС по тренерам'!$B$5</c:f>
              <c:strCache>
                <c:ptCount val="1"/>
                <c:pt idx="0">
                  <c:v>Уваров К.А.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'Графика НПС по тренерам'!$C$1:$O$1</c:f>
              <c:strCache>
                <c:ptCount val="13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  <c:pt idx="12">
                  <c:v>средний NPS</c:v>
                </c:pt>
              </c:strCache>
            </c:strRef>
          </c:cat>
          <c:val>
            <c:numRef>
              <c:f>'Графика НПС по тренерам'!$C$5:$O$5</c:f>
              <c:numCache>
                <c:formatCode>General</c:formatCode>
                <c:ptCount val="13"/>
                <c:pt idx="1">
                  <c:v>96</c:v>
                </c:pt>
                <c:pt idx="3">
                  <c:v>74</c:v>
                </c:pt>
                <c:pt idx="5">
                  <c:v>85</c:v>
                </c:pt>
                <c:pt idx="6">
                  <c:v>89</c:v>
                </c:pt>
                <c:pt idx="7">
                  <c:v>78</c:v>
                </c:pt>
                <c:pt idx="8">
                  <c:v>75</c:v>
                </c:pt>
                <c:pt idx="9">
                  <c:v>87</c:v>
                </c:pt>
                <c:pt idx="10">
                  <c:v>87</c:v>
                </c:pt>
                <c:pt idx="11">
                  <c:v>93</c:v>
                </c:pt>
                <c:pt idx="12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773-497E-AC43-107107335197}"/>
            </c:ext>
          </c:extLst>
        </c:ser>
        <c:ser>
          <c:idx val="4"/>
          <c:order val="4"/>
          <c:tx>
            <c:strRef>
              <c:f>'Графика НПС по тренерам'!$B$6</c:f>
              <c:strCache>
                <c:ptCount val="1"/>
                <c:pt idx="0">
                  <c:v>Хлебников А.В.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'Графика НПС по тренерам'!$C$1:$O$1</c:f>
              <c:strCache>
                <c:ptCount val="13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  <c:pt idx="12">
                  <c:v>средний NPS</c:v>
                </c:pt>
              </c:strCache>
            </c:strRef>
          </c:cat>
          <c:val>
            <c:numRef>
              <c:f>'Графика НПС по тренерам'!$C$6:$O$6</c:f>
              <c:numCache>
                <c:formatCode>General</c:formatCode>
                <c:ptCount val="13"/>
                <c:pt idx="2">
                  <c:v>90</c:v>
                </c:pt>
                <c:pt idx="3">
                  <c:v>87</c:v>
                </c:pt>
                <c:pt idx="4">
                  <c:v>83</c:v>
                </c:pt>
                <c:pt idx="5">
                  <c:v>96</c:v>
                </c:pt>
                <c:pt idx="6">
                  <c:v>77</c:v>
                </c:pt>
                <c:pt idx="7">
                  <c:v>81</c:v>
                </c:pt>
                <c:pt idx="8">
                  <c:v>82</c:v>
                </c:pt>
                <c:pt idx="9">
                  <c:v>79</c:v>
                </c:pt>
                <c:pt idx="10">
                  <c:v>62</c:v>
                </c:pt>
                <c:pt idx="11">
                  <c:v>87</c:v>
                </c:pt>
                <c:pt idx="12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773-497E-AC43-107107335197}"/>
            </c:ext>
          </c:extLst>
        </c:ser>
        <c:ser>
          <c:idx val="5"/>
          <c:order val="5"/>
          <c:tx>
            <c:strRef>
              <c:f>'Графика НПС по тренерам'!$B$7</c:f>
              <c:strCache>
                <c:ptCount val="1"/>
                <c:pt idx="0">
                  <c:v>Чуприков С.О.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'Графика НПС по тренерам'!$C$1:$O$1</c:f>
              <c:strCache>
                <c:ptCount val="13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  <c:pt idx="12">
                  <c:v>средний NPS</c:v>
                </c:pt>
              </c:strCache>
            </c:strRef>
          </c:cat>
          <c:val>
            <c:numRef>
              <c:f>'Графика НПС по тренерам'!$C$7:$O$7</c:f>
              <c:numCache>
                <c:formatCode>General</c:formatCode>
                <c:ptCount val="13"/>
                <c:pt idx="3">
                  <c:v>75</c:v>
                </c:pt>
                <c:pt idx="4">
                  <c:v>75</c:v>
                </c:pt>
                <c:pt idx="6">
                  <c:v>85</c:v>
                </c:pt>
                <c:pt idx="7">
                  <c:v>92</c:v>
                </c:pt>
                <c:pt idx="8">
                  <c:v>85</c:v>
                </c:pt>
                <c:pt idx="9">
                  <c:v>60</c:v>
                </c:pt>
                <c:pt idx="10">
                  <c:v>75</c:v>
                </c:pt>
                <c:pt idx="12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773-497E-AC43-107107335197}"/>
            </c:ext>
          </c:extLst>
        </c:ser>
        <c:ser>
          <c:idx val="6"/>
          <c:order val="6"/>
          <c:tx>
            <c:strRef>
              <c:f>'Графика НПС по тренерам'!$B$8</c:f>
              <c:strCache>
                <c:ptCount val="1"/>
                <c:pt idx="0">
                  <c:v>Осман А.А.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'Графика НПС по тренерам'!$C$1:$O$1</c:f>
              <c:strCache>
                <c:ptCount val="13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  <c:pt idx="12">
                  <c:v>средний NPS</c:v>
                </c:pt>
              </c:strCache>
            </c:strRef>
          </c:cat>
          <c:val>
            <c:numRef>
              <c:f>'Графика НПС по тренерам'!$C$8:$O$8</c:f>
              <c:numCache>
                <c:formatCode>General</c:formatCode>
                <c:ptCount val="13"/>
                <c:pt idx="9">
                  <c:v>100</c:v>
                </c:pt>
                <c:pt idx="10">
                  <c:v>78</c:v>
                </c:pt>
                <c:pt idx="12">
                  <c:v>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773-497E-AC43-107107335197}"/>
            </c:ext>
          </c:extLst>
        </c:ser>
        <c:ser>
          <c:idx val="7"/>
          <c:order val="7"/>
          <c:tx>
            <c:strRef>
              <c:f>'Графика НПС по тренерам'!$B$9</c:f>
              <c:strCache>
                <c:ptCount val="1"/>
                <c:pt idx="0">
                  <c:v>Левкина Н.В.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'Графика НПС по тренерам'!$C$1:$O$1</c:f>
              <c:strCache>
                <c:ptCount val="13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  <c:pt idx="12">
                  <c:v>средний NPS</c:v>
                </c:pt>
              </c:strCache>
            </c:strRef>
          </c:cat>
          <c:val>
            <c:numRef>
              <c:f>'Графика НПС по тренерам'!$C$9:$O$9</c:f>
              <c:numCache>
                <c:formatCode>General</c:formatCode>
                <c:ptCount val="13"/>
                <c:pt idx="7">
                  <c:v>96</c:v>
                </c:pt>
                <c:pt idx="8">
                  <c:v>96</c:v>
                </c:pt>
                <c:pt idx="9">
                  <c:v>100</c:v>
                </c:pt>
                <c:pt idx="12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773-497E-AC43-107107335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7805824"/>
        <c:axId val="1547806304"/>
      </c:barChart>
      <c:catAx>
        <c:axId val="1547805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7806304"/>
        <c:crosses val="autoZero"/>
        <c:auto val="1"/>
        <c:lblAlgn val="ctr"/>
        <c:lblOffset val="100"/>
        <c:noMultiLvlLbl val="0"/>
      </c:catAx>
      <c:valAx>
        <c:axId val="1547806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4780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Количество тренинГов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'Итого за год'!$J$3:$J$10</c:f>
              <c:strCache>
                <c:ptCount val="8"/>
                <c:pt idx="0">
                  <c:v>Басанцова Надежда</c:v>
                </c:pt>
                <c:pt idx="1">
                  <c:v>Васильева Светлана</c:v>
                </c:pt>
                <c:pt idx="2">
                  <c:v>Лёвкина Наталья</c:v>
                </c:pt>
                <c:pt idx="3">
                  <c:v>Туранов Кирилл</c:v>
                </c:pt>
                <c:pt idx="4">
                  <c:v>Уваров Константин</c:v>
                </c:pt>
                <c:pt idx="5">
                  <c:v>Хлебников Александр</c:v>
                </c:pt>
                <c:pt idx="6">
                  <c:v>Чуприков Станислав</c:v>
                </c:pt>
                <c:pt idx="7">
                  <c:v>Осман Александра</c:v>
                </c:pt>
              </c:strCache>
            </c:strRef>
          </c:cat>
          <c:val>
            <c:numRef>
              <c:f>'Итого за год'!$K$3:$K$10</c:f>
              <c:numCache>
                <c:formatCode>General</c:formatCode>
                <c:ptCount val="8"/>
                <c:pt idx="0">
                  <c:v>90</c:v>
                </c:pt>
                <c:pt idx="1">
                  <c:v>53</c:v>
                </c:pt>
                <c:pt idx="2">
                  <c:v>8</c:v>
                </c:pt>
                <c:pt idx="3">
                  <c:v>73</c:v>
                </c:pt>
                <c:pt idx="4">
                  <c:v>78</c:v>
                </c:pt>
                <c:pt idx="5">
                  <c:v>77</c:v>
                </c:pt>
                <c:pt idx="6">
                  <c:v>26</c:v>
                </c:pt>
                <c:pt idx="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77-47F7-8C60-38CDDC03AD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267455968"/>
        <c:axId val="1267474208"/>
      </c:barChart>
      <c:catAx>
        <c:axId val="126745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67474208"/>
        <c:crosses val="autoZero"/>
        <c:auto val="1"/>
        <c:lblAlgn val="ctr"/>
        <c:lblOffset val="100"/>
        <c:noMultiLvlLbl val="0"/>
      </c:catAx>
      <c:valAx>
        <c:axId val="12674742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6745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1076325</xdr:colOff>
      <xdr:row>3</xdr:row>
      <xdr:rowOff>126999</xdr:rowOff>
    </xdr:from>
    <xdr:to>
      <xdr:col>14</xdr:col>
      <xdr:colOff>666750</xdr:colOff>
      <xdr:row>33</xdr:row>
      <xdr:rowOff>19050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90A43F0-17D4-450A-9A0B-0AC795F3CC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304800</xdr:colOff>
      <xdr:row>2</xdr:row>
      <xdr:rowOff>119062</xdr:rowOff>
    </xdr:from>
    <xdr:to>
      <xdr:col>32</xdr:col>
      <xdr:colOff>209549</xdr:colOff>
      <xdr:row>32</xdr:row>
      <xdr:rowOff>19050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185D944-EDF2-F1BE-28B7-16A4207662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0.06894</cdr:x>
      <cdr:y>0.29977</cdr:y>
    </cdr:from>
    <cdr:to>
      <cdr:x>0.92283</cdr:x>
      <cdr:y>0.29977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85F8BA3E-32FE-40C0-9494-A2155DA7E143}"/>
            </a:ext>
          </a:extLst>
        </cdr:cNvPr>
        <cdr:cNvCxnSpPr/>
      </cdr:nvCxnSpPr>
      <cdr:spPr>
        <a:xfrm xmlns:a="http://schemas.openxmlformats.org/drawingml/2006/main">
          <a:off x="346076" y="822325"/>
          <a:ext cx="4286250" cy="0"/>
        </a:xfrm>
        <a:prstGeom xmlns:a="http://schemas.openxmlformats.org/drawingml/2006/main" prst="line">
          <a:avLst/>
        </a:prstGeom>
        <a:ln xmlns:a="http://schemas.openxmlformats.org/drawingml/2006/main" w="15875">
          <a:solidFill>
            <a:schemeClr val="accent6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0.91597</cdr:x>
      <cdr:y>0.26042</cdr:y>
    </cdr:from>
    <cdr:to>
      <cdr:x>1</cdr:x>
      <cdr:y>0.33218</cdr:y>
    </cdr:to>
    <cdr:sp macro="" textlink="">
      <cdr:nvSpPr>
        <cdr:cNvPr id="9" name="TextBox 8">
          <a:extLst xmlns:a="http://schemas.openxmlformats.org/drawingml/2006/main">
            <a:ext uri="{FF2B5EF4-FFF2-40B4-BE49-F238E27FC236}">
              <a16:creationId xmlns:a16="http://schemas.microsoft.com/office/drawing/2014/main" id="{B78CB25B-ABC7-4164-88CB-8A1CDB7834D1}"/>
            </a:ext>
          </a:extLst>
        </cdr:cNvPr>
        <cdr:cNvSpPr txBox="1"/>
      </cdr:nvSpPr>
      <cdr:spPr>
        <a:xfrm xmlns:a="http://schemas.openxmlformats.org/drawingml/2006/main">
          <a:off x="4597882" y="714375"/>
          <a:ext cx="421792" cy="19685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ru-RU" sz="1100" b="1">
              <a:solidFill>
                <a:schemeClr val="accent6"/>
              </a:solidFill>
            </a:rPr>
            <a:t>75%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0.05819</cdr:x>
      <cdr:y>0.40967</cdr:y>
    </cdr:from>
    <cdr:to>
      <cdr:x>0.97732</cdr:x>
      <cdr:y>0.41137</cdr:y>
    </cdr:to>
    <cdr:cxnSp macro="">
      <cdr:nvCxnSpPr>
        <cdr:cNvPr id="3" name="Прямая соединительная линия 2">
          <a:extLst xmlns:a="http://schemas.openxmlformats.org/drawingml/2006/main">
            <a:ext uri="{FF2B5EF4-FFF2-40B4-BE49-F238E27FC236}">
              <a16:creationId xmlns:a16="http://schemas.microsoft.com/office/drawing/2014/main" id="{95917ACB-3DA7-E472-CF32-885F2AF3E5D1}"/>
            </a:ext>
          </a:extLst>
        </cdr:cNvPr>
        <cdr:cNvCxnSpPr/>
      </cdr:nvCxnSpPr>
      <cdr:spPr>
        <a:xfrm xmlns:a="http://schemas.openxmlformats.org/drawingml/2006/main">
          <a:off x="561975" y="2300288"/>
          <a:ext cx="8877300" cy="9525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rgbClr val="00B050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0.90533</cdr:x>
      <cdr:y>0.35708</cdr:y>
    </cdr:from>
    <cdr:to>
      <cdr:x>1</cdr:x>
      <cdr:y>0.51993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8D9241BA-6F11-2344-9E0C-A8E04BDEC181}"/>
            </a:ext>
          </a:extLst>
        </cdr:cNvPr>
        <cdr:cNvSpPr txBox="1"/>
      </cdr:nvSpPr>
      <cdr:spPr>
        <a:xfrm xmlns:a="http://schemas.openxmlformats.org/drawingml/2006/main">
          <a:off x="8743949" y="2005013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ru-RU" sz="1100" kern="1200">
              <a:solidFill>
                <a:srgbClr val="00B050"/>
              </a:solidFill>
            </a:rPr>
            <a:t>70%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1057275</xdr:colOff>
      <xdr:row>10</xdr:row>
      <xdr:rowOff>71436</xdr:rowOff>
    </xdr:from>
    <xdr:to>
      <xdr:col>15</xdr:col>
      <xdr:colOff>57149</xdr:colOff>
      <xdr:row>30</xdr:row>
      <xdr:rowOff>38099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1F4DA770-4DDA-8FC6-9FEA-6164E6D453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285750</xdr:colOff>
      <xdr:row>18</xdr:row>
      <xdr:rowOff>76200</xdr:rowOff>
    </xdr:from>
    <xdr:to>
      <xdr:col>14</xdr:col>
      <xdr:colOff>876300</xdr:colOff>
      <xdr:row>18</xdr:row>
      <xdr:rowOff>85725</xdr:rowOff>
    </xdr:to>
    <xdr:cxnSp macro="">
      <xdr:nvCxnSpPr>
        <xdr:cNvPr id="8" name="Прямая соединительная линия 7">
          <a:extLst>
            <a:ext uri="{FF2B5EF4-FFF2-40B4-BE49-F238E27FC236}">
              <a16:creationId xmlns:a16="http://schemas.microsoft.com/office/drawing/2014/main" id="{9D84E298-F0AE-47CE-C262-143D2A11CFFE}"/>
            </a:ext>
          </a:extLst>
        </xdr:cNvPr>
        <xdr:cNvCxnSpPr/>
      </xdr:nvCxnSpPr>
      <xdr:spPr>
        <a:xfrm>
          <a:off x="2152650" y="3505200"/>
          <a:ext cx="7905750" cy="9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666750</xdr:colOff>
      <xdr:row>11</xdr:row>
      <xdr:rowOff>157162</xdr:rowOff>
    </xdr:from>
    <xdr:to>
      <xdr:col>11</xdr:col>
      <xdr:colOff>781050</xdr:colOff>
      <xdr:row>26</xdr:row>
      <xdr:rowOff>42862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A7454DF8-7C60-DFF0-3713-CDB9C9CD18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3"/>
  <sheetViews>
    <sheetView zoomScaleNormal="100" workbookViewId="0">
      <selection activeCell="P16" sqref="P16"/>
    </sheetView>
  </sheetViews>
  <sheetFormatPr defaultRowHeight="15" x14ac:dyDescent="0.25"/>
  <cols>
    <col min="1" max="1" width="6.85546875" customWidth="1"/>
    <col min="2" max="2" width="22.85546875" customWidth="1"/>
    <col min="3" max="3" width="12.5703125" customWidth="1"/>
    <col min="15" max="15" width="13.85546875" customWidth="1"/>
  </cols>
  <sheetData>
    <row r="1" spans="2:15" x14ac:dyDescent="0.25"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2:15" x14ac:dyDescent="0.25">
      <c r="B2" s="19" t="s">
        <v>0</v>
      </c>
      <c r="C2" s="2">
        <v>92</v>
      </c>
      <c r="D2" s="2">
        <v>91</v>
      </c>
      <c r="E2" s="2">
        <v>87</v>
      </c>
      <c r="F2" s="2">
        <v>83</v>
      </c>
      <c r="G2" s="2">
        <v>82</v>
      </c>
      <c r="H2" s="2">
        <v>82</v>
      </c>
      <c r="I2" s="2">
        <v>84</v>
      </c>
      <c r="J2" s="2">
        <v>84</v>
      </c>
      <c r="K2" s="2">
        <v>83</v>
      </c>
      <c r="L2" s="2">
        <v>85</v>
      </c>
      <c r="M2" s="2">
        <v>86</v>
      </c>
      <c r="N2" s="2">
        <v>93</v>
      </c>
      <c r="O2" s="2">
        <v>86</v>
      </c>
    </row>
    <row r="3" spans="2:15" x14ac:dyDescent="0.25">
      <c r="B3" s="19" t="s">
        <v>1</v>
      </c>
      <c r="C3" s="3">
        <v>60</v>
      </c>
      <c r="D3" s="2">
        <v>83</v>
      </c>
      <c r="E3" s="2">
        <v>90</v>
      </c>
      <c r="F3" s="2">
        <v>99</v>
      </c>
      <c r="G3" s="2">
        <v>87</v>
      </c>
      <c r="H3" s="2">
        <v>95</v>
      </c>
      <c r="I3" s="2">
        <v>88</v>
      </c>
      <c r="J3" s="2">
        <v>85</v>
      </c>
      <c r="K3" s="2">
        <v>76</v>
      </c>
      <c r="L3" s="2">
        <v>97</v>
      </c>
      <c r="M3" s="2">
        <v>88</v>
      </c>
      <c r="N3" s="2">
        <v>87</v>
      </c>
      <c r="O3" s="2">
        <v>86</v>
      </c>
    </row>
  </sheetData>
  <phoneticPr fontId="2" type="noConversion"/>
  <pageMargins left="0.70866141732283472" right="0.70866141732283472" top="0.74803149606299213" bottom="0.74803149606299213" header="0.31496062992125984" footer="0.31496062992125984"/>
  <pageSetup paperSize="9" scale="79" orientation="landscape" r:id="rId1"/>
  <colBreaks count="1" manualBreakCount="1">
    <brk id="16" max="5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D9A6D-57DA-48BA-88DD-73A80AA644D0}">
  <dimension ref="A3:O16"/>
  <sheetViews>
    <sheetView tabSelected="1" workbookViewId="0">
      <selection activeCell="H6" sqref="H6"/>
    </sheetView>
  </sheetViews>
  <sheetFormatPr defaultRowHeight="15" x14ac:dyDescent="0.25"/>
  <cols>
    <col min="1" max="1" width="11" customWidth="1"/>
    <col min="2" max="2" width="18.85546875" customWidth="1"/>
    <col min="15" max="15" width="12.7109375" customWidth="1"/>
  </cols>
  <sheetData>
    <row r="3" spans="1:15" ht="18.75" x14ac:dyDescent="0.3">
      <c r="D3" s="93" t="s">
        <v>125</v>
      </c>
      <c r="E3" s="93"/>
      <c r="F3" s="93"/>
      <c r="G3" s="93"/>
      <c r="H3" s="93"/>
      <c r="I3" s="93"/>
      <c r="J3" s="93"/>
      <c r="K3" s="93"/>
    </row>
    <row r="5" spans="1:15" x14ac:dyDescent="0.25">
      <c r="B5" s="81" t="s">
        <v>31</v>
      </c>
      <c r="C5" s="82" t="s">
        <v>2</v>
      </c>
      <c r="D5" s="82" t="s">
        <v>3</v>
      </c>
      <c r="E5" s="82" t="s">
        <v>4</v>
      </c>
      <c r="F5" s="82" t="s">
        <v>5</v>
      </c>
      <c r="G5" s="82" t="s">
        <v>6</v>
      </c>
      <c r="H5" s="82" t="s">
        <v>7</v>
      </c>
      <c r="I5" s="82" t="s">
        <v>8</v>
      </c>
      <c r="J5" s="82" t="s">
        <v>9</v>
      </c>
      <c r="K5" s="82" t="s">
        <v>10</v>
      </c>
      <c r="L5" s="82" t="s">
        <v>11</v>
      </c>
      <c r="M5" s="82" t="s">
        <v>12</v>
      </c>
      <c r="N5" s="82" t="s">
        <v>13</v>
      </c>
      <c r="O5" s="82" t="s">
        <v>32</v>
      </c>
    </row>
    <row r="6" spans="1:15" x14ac:dyDescent="0.25">
      <c r="A6" s="84" t="s">
        <v>33</v>
      </c>
      <c r="B6" s="20" t="s">
        <v>16</v>
      </c>
      <c r="C6" s="2">
        <v>92</v>
      </c>
      <c r="D6" s="2">
        <v>93</v>
      </c>
      <c r="E6" s="2">
        <v>88</v>
      </c>
      <c r="F6" s="2">
        <v>82</v>
      </c>
      <c r="G6" s="2">
        <v>73</v>
      </c>
      <c r="H6" s="3">
        <v>64</v>
      </c>
      <c r="I6" s="2">
        <v>80</v>
      </c>
      <c r="J6" s="2">
        <v>81</v>
      </c>
      <c r="K6" s="2">
        <v>82</v>
      </c>
      <c r="L6" s="2">
        <v>77</v>
      </c>
      <c r="M6" s="19"/>
      <c r="N6" s="19"/>
      <c r="O6" s="83">
        <v>81</v>
      </c>
    </row>
    <row r="7" spans="1:15" x14ac:dyDescent="0.25">
      <c r="A7" s="84"/>
      <c r="B7" s="20" t="s">
        <v>19</v>
      </c>
      <c r="C7" s="2">
        <v>89</v>
      </c>
      <c r="D7" s="2">
        <v>89</v>
      </c>
      <c r="E7" s="2">
        <v>81</v>
      </c>
      <c r="F7" s="2">
        <v>77</v>
      </c>
      <c r="G7" s="2">
        <v>77</v>
      </c>
      <c r="H7" s="2">
        <v>80</v>
      </c>
      <c r="I7" s="2">
        <v>80</v>
      </c>
      <c r="J7" s="2">
        <v>82</v>
      </c>
      <c r="K7" s="2">
        <v>80</v>
      </c>
      <c r="L7" s="2">
        <v>76</v>
      </c>
      <c r="M7" s="19"/>
      <c r="N7" s="19"/>
      <c r="O7" s="83">
        <v>82</v>
      </c>
    </row>
    <row r="8" spans="1:15" x14ac:dyDescent="0.25">
      <c r="A8" s="84"/>
      <c r="B8" s="20" t="s">
        <v>20</v>
      </c>
      <c r="C8" s="2">
        <v>94</v>
      </c>
      <c r="D8" s="2">
        <v>94</v>
      </c>
      <c r="E8" s="2">
        <v>90</v>
      </c>
      <c r="F8" s="2">
        <v>83</v>
      </c>
      <c r="G8" s="2">
        <v>79</v>
      </c>
      <c r="H8" s="2">
        <v>85</v>
      </c>
      <c r="I8" s="2">
        <v>87</v>
      </c>
      <c r="J8" s="2">
        <v>89</v>
      </c>
      <c r="K8" s="2">
        <v>79</v>
      </c>
      <c r="L8" s="2">
        <v>87</v>
      </c>
      <c r="M8" s="19"/>
      <c r="N8" s="19"/>
      <c r="O8" s="83">
        <v>87</v>
      </c>
    </row>
    <row r="9" spans="1:15" x14ac:dyDescent="0.25">
      <c r="A9" s="84"/>
      <c r="B9" s="20" t="s">
        <v>22</v>
      </c>
      <c r="C9" s="2">
        <v>95</v>
      </c>
      <c r="D9" s="2">
        <v>95</v>
      </c>
      <c r="E9" s="2">
        <v>83</v>
      </c>
      <c r="F9" s="2">
        <v>88</v>
      </c>
      <c r="G9" s="2">
        <v>83</v>
      </c>
      <c r="H9" s="2">
        <v>83</v>
      </c>
      <c r="I9" s="2">
        <v>88</v>
      </c>
      <c r="J9" s="2">
        <v>87</v>
      </c>
      <c r="K9" s="2">
        <v>86</v>
      </c>
      <c r="L9" s="2">
        <v>95</v>
      </c>
      <c r="M9" s="19"/>
      <c r="N9" s="19"/>
      <c r="O9" s="83">
        <v>88</v>
      </c>
    </row>
    <row r="10" spans="1:15" x14ac:dyDescent="0.25">
      <c r="A10" s="84"/>
      <c r="B10" s="20" t="s">
        <v>23</v>
      </c>
      <c r="C10" s="2">
        <v>91</v>
      </c>
      <c r="D10" s="2">
        <v>100</v>
      </c>
      <c r="E10" s="2">
        <v>87</v>
      </c>
      <c r="F10" s="2">
        <v>79</v>
      </c>
      <c r="G10" s="2">
        <v>77</v>
      </c>
      <c r="H10" s="2">
        <v>84</v>
      </c>
      <c r="I10" s="2">
        <v>85</v>
      </c>
      <c r="J10" s="2">
        <v>83</v>
      </c>
      <c r="K10" s="2">
        <v>86</v>
      </c>
      <c r="L10" s="2">
        <v>90</v>
      </c>
      <c r="M10" s="19"/>
      <c r="N10" s="19"/>
      <c r="O10" s="83">
        <v>86</v>
      </c>
    </row>
    <row r="11" spans="1:15" x14ac:dyDescent="0.25">
      <c r="A11" s="84" t="s">
        <v>34</v>
      </c>
      <c r="B11" s="21" t="s">
        <v>27</v>
      </c>
      <c r="C11" s="19"/>
      <c r="D11" s="2">
        <v>80</v>
      </c>
      <c r="E11" s="2">
        <v>100</v>
      </c>
      <c r="F11" s="2">
        <v>86</v>
      </c>
      <c r="G11" s="62">
        <v>89</v>
      </c>
      <c r="H11" s="2">
        <v>90</v>
      </c>
      <c r="I11" s="2">
        <v>75</v>
      </c>
      <c r="J11" s="2">
        <v>86</v>
      </c>
      <c r="K11" s="2">
        <v>89</v>
      </c>
      <c r="L11" s="2">
        <v>84</v>
      </c>
      <c r="M11" s="19"/>
      <c r="N11" s="2">
        <v>92</v>
      </c>
      <c r="O11" s="83">
        <v>87</v>
      </c>
    </row>
    <row r="12" spans="1:15" x14ac:dyDescent="0.25">
      <c r="A12" s="84"/>
      <c r="B12" s="21" t="s">
        <v>29</v>
      </c>
      <c r="C12" s="19"/>
      <c r="D12" s="2">
        <v>80</v>
      </c>
      <c r="E12" s="19"/>
      <c r="F12" s="19"/>
      <c r="G12" s="2">
        <v>100</v>
      </c>
      <c r="H12" s="19"/>
      <c r="I12" s="2">
        <v>84</v>
      </c>
      <c r="J12" s="19"/>
      <c r="K12" s="19"/>
      <c r="L12" s="2">
        <v>86</v>
      </c>
      <c r="M12" s="19"/>
      <c r="N12" s="19"/>
      <c r="O12" s="83">
        <v>88</v>
      </c>
    </row>
    <row r="13" spans="1:15" x14ac:dyDescent="0.25">
      <c r="A13" s="84"/>
      <c r="B13" s="21" t="s">
        <v>28</v>
      </c>
      <c r="C13" s="19"/>
      <c r="D13" s="2">
        <v>90</v>
      </c>
      <c r="E13" s="19"/>
      <c r="F13" s="2">
        <v>100</v>
      </c>
      <c r="G13" s="1"/>
      <c r="H13" s="2">
        <v>80</v>
      </c>
      <c r="I13" s="2">
        <v>92</v>
      </c>
      <c r="J13" s="19"/>
      <c r="K13" s="19"/>
      <c r="L13" s="2">
        <v>86</v>
      </c>
      <c r="M13" s="19"/>
      <c r="N13" s="19"/>
      <c r="O13" s="83">
        <v>90</v>
      </c>
    </row>
    <row r="14" spans="1:15" x14ac:dyDescent="0.25">
      <c r="A14" s="84"/>
      <c r="B14" s="21" t="s">
        <v>35</v>
      </c>
      <c r="C14" s="19"/>
      <c r="D14" s="19"/>
      <c r="E14" s="19"/>
      <c r="F14" s="2">
        <v>100</v>
      </c>
      <c r="G14" s="2">
        <v>100</v>
      </c>
      <c r="H14" s="2">
        <v>75</v>
      </c>
      <c r="I14" s="2">
        <v>94</v>
      </c>
      <c r="J14" s="19"/>
      <c r="K14" s="19"/>
      <c r="L14" s="19"/>
      <c r="M14" s="19"/>
      <c r="N14" s="19"/>
      <c r="O14" s="83">
        <v>92</v>
      </c>
    </row>
    <row r="15" spans="1:15" ht="26.25" customHeight="1" x14ac:dyDescent="0.25">
      <c r="A15" s="84"/>
      <c r="B15" s="21" t="s">
        <v>36</v>
      </c>
      <c r="C15" s="19"/>
      <c r="D15" s="19"/>
      <c r="E15" s="19"/>
      <c r="F15" s="2">
        <v>100</v>
      </c>
      <c r="G15" s="2">
        <v>89</v>
      </c>
      <c r="H15" s="2">
        <v>94</v>
      </c>
      <c r="I15" s="2">
        <v>91</v>
      </c>
      <c r="J15" s="2">
        <v>78</v>
      </c>
      <c r="K15" s="2">
        <v>89</v>
      </c>
      <c r="L15" s="2">
        <v>89</v>
      </c>
      <c r="M15" s="19"/>
      <c r="N15" s="2">
        <v>100</v>
      </c>
      <c r="O15" s="83">
        <v>90</v>
      </c>
    </row>
    <row r="16" spans="1:15" x14ac:dyDescent="0.25">
      <c r="A16" s="80" t="s">
        <v>124</v>
      </c>
      <c r="B16" s="22" t="s">
        <v>37</v>
      </c>
      <c r="C16" s="3">
        <v>60</v>
      </c>
      <c r="D16" s="2">
        <v>83</v>
      </c>
      <c r="E16" s="2">
        <v>90</v>
      </c>
      <c r="F16" s="2">
        <v>99</v>
      </c>
      <c r="G16" s="2">
        <v>87</v>
      </c>
      <c r="H16" s="2">
        <v>95</v>
      </c>
      <c r="I16" s="2">
        <v>88</v>
      </c>
      <c r="J16" s="2">
        <v>85</v>
      </c>
      <c r="K16" s="2">
        <v>76</v>
      </c>
      <c r="L16" s="2">
        <v>97</v>
      </c>
      <c r="M16" s="2">
        <v>88</v>
      </c>
      <c r="N16" s="2">
        <v>87</v>
      </c>
      <c r="O16" s="83">
        <v>86</v>
      </c>
    </row>
  </sheetData>
  <mergeCells count="3">
    <mergeCell ref="A6:A10"/>
    <mergeCell ref="A11:A15"/>
    <mergeCell ref="D3:K3"/>
  </mergeCells>
  <pageMargins left="0.70866141732283472" right="0.70866141732283472" top="0.74803149606299213" bottom="0.74803149606299213" header="0.31496062992125984" footer="0.31496062992125984"/>
  <pageSetup paperSize="9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22D04-DF2D-43AE-B6EE-4544B3BC6CA0}">
  <dimension ref="A1:J409"/>
  <sheetViews>
    <sheetView topLeftCell="A174" workbookViewId="0">
      <selection activeCell="N394" sqref="M394:N394"/>
    </sheetView>
  </sheetViews>
  <sheetFormatPr defaultRowHeight="15" x14ac:dyDescent="0.25"/>
  <cols>
    <col min="1" max="1" width="7.85546875" customWidth="1"/>
    <col min="3" max="3" width="27.7109375" customWidth="1"/>
    <col min="4" max="4" width="16.7109375" customWidth="1"/>
    <col min="5" max="5" width="32.7109375" customWidth="1"/>
    <col min="6" max="6" width="16.140625" customWidth="1"/>
    <col min="7" max="7" width="14.42578125" customWidth="1"/>
  </cols>
  <sheetData>
    <row r="1" spans="1:7" x14ac:dyDescent="0.25">
      <c r="A1" s="28" t="s">
        <v>38</v>
      </c>
      <c r="B1" s="28" t="s">
        <v>39</v>
      </c>
      <c r="C1" s="28" t="s">
        <v>40</v>
      </c>
      <c r="D1" s="28" t="s">
        <v>41</v>
      </c>
      <c r="E1" s="28" t="s">
        <v>42</v>
      </c>
      <c r="F1" s="28" t="s">
        <v>43</v>
      </c>
      <c r="G1" s="28" t="s">
        <v>44</v>
      </c>
    </row>
    <row r="2" spans="1:7" x14ac:dyDescent="0.25">
      <c r="A2" s="29">
        <v>1</v>
      </c>
      <c r="B2" s="4">
        <v>15</v>
      </c>
      <c r="C2" s="7" t="s">
        <v>18</v>
      </c>
      <c r="D2" s="7" t="s">
        <v>19</v>
      </c>
      <c r="E2" s="8" t="s">
        <v>17</v>
      </c>
      <c r="F2" s="10">
        <v>0.78</v>
      </c>
      <c r="G2" s="89">
        <v>88</v>
      </c>
    </row>
    <row r="3" spans="1:7" x14ac:dyDescent="0.25">
      <c r="A3" s="29">
        <v>1</v>
      </c>
      <c r="B3" s="4">
        <v>15</v>
      </c>
      <c r="C3" s="24" t="s">
        <v>18</v>
      </c>
      <c r="D3" s="24" t="s">
        <v>20</v>
      </c>
      <c r="E3" s="25" t="s">
        <v>17</v>
      </c>
      <c r="F3" s="10">
        <v>0.88</v>
      </c>
      <c r="G3" s="89"/>
    </row>
    <row r="4" spans="1:7" x14ac:dyDescent="0.25">
      <c r="A4" s="29">
        <v>1</v>
      </c>
      <c r="B4" s="4">
        <v>20</v>
      </c>
      <c r="C4" s="24" t="s">
        <v>18</v>
      </c>
      <c r="D4" s="24" t="s">
        <v>22</v>
      </c>
      <c r="E4" s="25" t="s">
        <v>17</v>
      </c>
      <c r="F4" s="10">
        <v>0.9</v>
      </c>
      <c r="G4" s="89"/>
    </row>
    <row r="5" spans="1:7" x14ac:dyDescent="0.25">
      <c r="A5" s="29">
        <v>1</v>
      </c>
      <c r="B5" s="4">
        <v>20</v>
      </c>
      <c r="C5" s="26" t="s">
        <v>18</v>
      </c>
      <c r="D5" s="26" t="s">
        <v>23</v>
      </c>
      <c r="E5" s="27" t="s">
        <v>17</v>
      </c>
      <c r="F5" s="10">
        <v>0.82</v>
      </c>
      <c r="G5" s="89"/>
    </row>
    <row r="6" spans="1:7" x14ac:dyDescent="0.25">
      <c r="A6" s="29">
        <v>1</v>
      </c>
      <c r="B6" s="4">
        <v>31</v>
      </c>
      <c r="C6" s="24" t="s">
        <v>18</v>
      </c>
      <c r="D6" s="24" t="s">
        <v>16</v>
      </c>
      <c r="E6" s="25" t="s">
        <v>24</v>
      </c>
      <c r="F6" s="9">
        <v>1</v>
      </c>
      <c r="G6" s="89"/>
    </row>
    <row r="7" spans="1:7" x14ac:dyDescent="0.25">
      <c r="A7" s="29">
        <v>1</v>
      </c>
      <c r="B7" s="4">
        <v>13</v>
      </c>
      <c r="C7" s="24" t="s">
        <v>15</v>
      </c>
      <c r="D7" s="24" t="s">
        <v>16</v>
      </c>
      <c r="E7" s="25" t="s">
        <v>17</v>
      </c>
      <c r="F7" s="10">
        <v>0.78</v>
      </c>
      <c r="G7" s="89">
        <v>96</v>
      </c>
    </row>
    <row r="8" spans="1:7" x14ac:dyDescent="0.25">
      <c r="A8" s="29">
        <v>1</v>
      </c>
      <c r="B8" s="4">
        <v>17</v>
      </c>
      <c r="C8" s="26" t="s">
        <v>15</v>
      </c>
      <c r="D8" s="26" t="s">
        <v>16</v>
      </c>
      <c r="E8" s="27" t="s">
        <v>21</v>
      </c>
      <c r="F8" s="9">
        <v>1</v>
      </c>
      <c r="G8" s="89"/>
    </row>
    <row r="9" spans="1:7" x14ac:dyDescent="0.25">
      <c r="A9" s="29">
        <v>1</v>
      </c>
      <c r="B9" s="4">
        <v>22</v>
      </c>
      <c r="C9" s="24" t="s">
        <v>15</v>
      </c>
      <c r="D9" s="24" t="s">
        <v>19</v>
      </c>
      <c r="E9" s="25" t="s">
        <v>21</v>
      </c>
      <c r="F9" s="10">
        <v>1</v>
      </c>
      <c r="G9" s="89"/>
    </row>
    <row r="10" spans="1:7" x14ac:dyDescent="0.25">
      <c r="A10" s="29">
        <v>1</v>
      </c>
      <c r="B10" s="4">
        <v>22</v>
      </c>
      <c r="C10" s="26" t="s">
        <v>15</v>
      </c>
      <c r="D10" s="26" t="s">
        <v>20</v>
      </c>
      <c r="E10" s="27" t="s">
        <v>21</v>
      </c>
      <c r="F10" s="10">
        <v>1</v>
      </c>
      <c r="G10" s="89"/>
    </row>
    <row r="11" spans="1:7" x14ac:dyDescent="0.25">
      <c r="A11" s="29">
        <v>1</v>
      </c>
      <c r="B11" s="4">
        <v>29</v>
      </c>
      <c r="C11" s="24" t="s">
        <v>15</v>
      </c>
      <c r="D11" s="24" t="s">
        <v>22</v>
      </c>
      <c r="E11" s="25" t="s">
        <v>21</v>
      </c>
      <c r="F11" s="10">
        <v>1</v>
      </c>
      <c r="G11" s="89"/>
    </row>
    <row r="12" spans="1:7" x14ac:dyDescent="0.25">
      <c r="A12" s="29">
        <v>1</v>
      </c>
      <c r="B12" s="4">
        <v>29</v>
      </c>
      <c r="C12" s="7" t="s">
        <v>15</v>
      </c>
      <c r="D12" s="7" t="s">
        <v>23</v>
      </c>
      <c r="E12" s="13" t="s">
        <v>21</v>
      </c>
      <c r="F12" s="10">
        <v>1</v>
      </c>
      <c r="G12" s="89"/>
    </row>
    <row r="13" spans="1:7" x14ac:dyDescent="0.25">
      <c r="A13" s="29">
        <v>2</v>
      </c>
      <c r="B13" s="23">
        <v>5</v>
      </c>
      <c r="C13" s="12" t="s">
        <v>18</v>
      </c>
      <c r="D13" s="12" t="s">
        <v>19</v>
      </c>
      <c r="E13" s="13" t="s">
        <v>24</v>
      </c>
      <c r="F13" s="14">
        <v>0.78</v>
      </c>
      <c r="G13" s="89">
        <v>91</v>
      </c>
    </row>
    <row r="14" spans="1:7" x14ac:dyDescent="0.25">
      <c r="A14" s="29">
        <v>2</v>
      </c>
      <c r="B14" s="23">
        <v>5</v>
      </c>
      <c r="C14" s="12" t="s">
        <v>18</v>
      </c>
      <c r="D14" s="12" t="s">
        <v>20</v>
      </c>
      <c r="E14" s="13" t="s">
        <v>24</v>
      </c>
      <c r="F14" s="14">
        <v>1</v>
      </c>
      <c r="G14" s="89"/>
    </row>
    <row r="15" spans="1:7" x14ac:dyDescent="0.25">
      <c r="A15" s="29">
        <v>2</v>
      </c>
      <c r="B15" s="23">
        <v>12</v>
      </c>
      <c r="C15" s="12" t="s">
        <v>18</v>
      </c>
      <c r="D15" s="12" t="s">
        <v>22</v>
      </c>
      <c r="E15" s="13" t="s">
        <v>24</v>
      </c>
      <c r="F15" s="14">
        <v>0.91</v>
      </c>
      <c r="G15" s="89"/>
    </row>
    <row r="16" spans="1:7" x14ac:dyDescent="0.25">
      <c r="A16" s="29">
        <v>2</v>
      </c>
      <c r="B16" s="23">
        <v>12</v>
      </c>
      <c r="C16" s="12" t="s">
        <v>18</v>
      </c>
      <c r="D16" s="12" t="s">
        <v>23</v>
      </c>
      <c r="E16" s="13" t="s">
        <v>24</v>
      </c>
      <c r="F16" s="14">
        <v>1</v>
      </c>
      <c r="G16" s="89"/>
    </row>
    <row r="17" spans="1:7" x14ac:dyDescent="0.25">
      <c r="A17" s="29">
        <v>2</v>
      </c>
      <c r="B17" s="23">
        <v>25</v>
      </c>
      <c r="C17" s="12" t="s">
        <v>18</v>
      </c>
      <c r="D17" s="12" t="s">
        <v>16</v>
      </c>
      <c r="E17" s="13" t="s">
        <v>30</v>
      </c>
      <c r="F17" s="14">
        <v>0.86</v>
      </c>
      <c r="G17" s="89"/>
    </row>
    <row r="18" spans="1:7" x14ac:dyDescent="0.25">
      <c r="A18" s="29">
        <v>2</v>
      </c>
      <c r="B18" s="11">
        <v>14</v>
      </c>
      <c r="C18" s="12" t="s">
        <v>15</v>
      </c>
      <c r="D18" s="12" t="s">
        <v>22</v>
      </c>
      <c r="E18" s="13" t="s">
        <v>26</v>
      </c>
      <c r="F18" s="14">
        <v>1</v>
      </c>
      <c r="G18" s="89">
        <v>88</v>
      </c>
    </row>
    <row r="19" spans="1:7" x14ac:dyDescent="0.25">
      <c r="A19" s="29">
        <v>2</v>
      </c>
      <c r="B19" s="11">
        <v>20</v>
      </c>
      <c r="C19" s="12" t="s">
        <v>15</v>
      </c>
      <c r="D19" s="12" t="s">
        <v>27</v>
      </c>
      <c r="E19" s="13" t="s">
        <v>17</v>
      </c>
      <c r="F19" s="14">
        <v>0.8</v>
      </c>
      <c r="G19" s="89"/>
    </row>
    <row r="20" spans="1:7" x14ac:dyDescent="0.25">
      <c r="A20" s="29">
        <v>2</v>
      </c>
      <c r="B20" s="11">
        <v>24</v>
      </c>
      <c r="C20" s="12" t="s">
        <v>15</v>
      </c>
      <c r="D20" s="12" t="s">
        <v>28</v>
      </c>
      <c r="E20" s="13" t="s">
        <v>17</v>
      </c>
      <c r="F20" s="14">
        <v>0.9</v>
      </c>
      <c r="G20" s="89"/>
    </row>
    <row r="21" spans="1:7" x14ac:dyDescent="0.25">
      <c r="A21" s="29">
        <v>2</v>
      </c>
      <c r="B21" s="11">
        <v>24</v>
      </c>
      <c r="C21" s="12" t="s">
        <v>15</v>
      </c>
      <c r="D21" s="12" t="s">
        <v>29</v>
      </c>
      <c r="E21" s="16" t="s">
        <v>17</v>
      </c>
      <c r="F21" s="14">
        <v>0.8</v>
      </c>
      <c r="G21" s="89"/>
    </row>
    <row r="22" spans="1:7" x14ac:dyDescent="0.25">
      <c r="A22" s="29">
        <v>2</v>
      </c>
      <c r="B22" s="11">
        <v>11</v>
      </c>
      <c r="C22" s="12" t="s">
        <v>25</v>
      </c>
      <c r="D22" s="12" t="s">
        <v>16</v>
      </c>
      <c r="E22" s="16" t="s">
        <v>26</v>
      </c>
      <c r="F22" s="14">
        <v>1</v>
      </c>
      <c r="G22" s="89">
        <v>96</v>
      </c>
    </row>
    <row r="23" spans="1:7" x14ac:dyDescent="0.25">
      <c r="A23" s="29">
        <v>2</v>
      </c>
      <c r="B23" s="17">
        <v>12</v>
      </c>
      <c r="C23" s="18" t="s">
        <v>25</v>
      </c>
      <c r="D23" s="18" t="s">
        <v>19</v>
      </c>
      <c r="E23" s="16" t="s">
        <v>26</v>
      </c>
      <c r="F23" s="14">
        <v>1</v>
      </c>
      <c r="G23" s="89"/>
    </row>
    <row r="24" spans="1:7" x14ac:dyDescent="0.25">
      <c r="A24" s="29">
        <v>2</v>
      </c>
      <c r="B24" s="17">
        <v>12</v>
      </c>
      <c r="C24" s="18" t="s">
        <v>25</v>
      </c>
      <c r="D24" s="18" t="s">
        <v>20</v>
      </c>
      <c r="E24" s="13" t="s">
        <v>26</v>
      </c>
      <c r="F24" s="14">
        <v>0.88</v>
      </c>
      <c r="G24" s="89"/>
    </row>
    <row r="25" spans="1:7" ht="19.5" customHeight="1" x14ac:dyDescent="0.25">
      <c r="A25" s="35">
        <v>3</v>
      </c>
      <c r="B25" s="11">
        <v>4</v>
      </c>
      <c r="C25" s="12" t="s">
        <v>45</v>
      </c>
      <c r="D25" s="12" t="s">
        <v>19</v>
      </c>
      <c r="E25" s="13" t="s">
        <v>30</v>
      </c>
      <c r="F25" s="10">
        <v>0.83</v>
      </c>
      <c r="G25" s="89">
        <v>90</v>
      </c>
    </row>
    <row r="26" spans="1:7" x14ac:dyDescent="0.25">
      <c r="A26" s="35">
        <v>3</v>
      </c>
      <c r="B26" s="11">
        <v>4</v>
      </c>
      <c r="C26" s="12" t="s">
        <v>45</v>
      </c>
      <c r="D26" s="12" t="s">
        <v>20</v>
      </c>
      <c r="E26" s="13" t="s">
        <v>30</v>
      </c>
      <c r="F26" s="10">
        <v>1</v>
      </c>
      <c r="G26" s="89"/>
    </row>
    <row r="27" spans="1:7" x14ac:dyDescent="0.25">
      <c r="A27" s="36">
        <v>3</v>
      </c>
      <c r="B27" s="11">
        <v>21</v>
      </c>
      <c r="C27" s="12" t="s">
        <v>45</v>
      </c>
      <c r="D27" s="12" t="s">
        <v>16</v>
      </c>
      <c r="E27" s="13" t="s">
        <v>47</v>
      </c>
      <c r="F27" s="10">
        <v>1</v>
      </c>
      <c r="G27" s="89"/>
    </row>
    <row r="28" spans="1:7" x14ac:dyDescent="0.25">
      <c r="A28" s="36">
        <v>3</v>
      </c>
      <c r="B28" s="11">
        <v>28</v>
      </c>
      <c r="C28" s="12" t="s">
        <v>45</v>
      </c>
      <c r="D28" s="12" t="s">
        <v>19</v>
      </c>
      <c r="E28" s="13" t="s">
        <v>47</v>
      </c>
      <c r="F28" s="10">
        <v>0.88</v>
      </c>
      <c r="G28" s="89"/>
    </row>
    <row r="29" spans="1:7" x14ac:dyDescent="0.25">
      <c r="A29" s="36">
        <v>3</v>
      </c>
      <c r="B29" s="11">
        <v>28</v>
      </c>
      <c r="C29" s="12" t="s">
        <v>45</v>
      </c>
      <c r="D29" s="12" t="s">
        <v>20</v>
      </c>
      <c r="E29" s="13" t="s">
        <v>47</v>
      </c>
      <c r="F29" s="10">
        <v>0.8</v>
      </c>
      <c r="G29" s="89"/>
    </row>
    <row r="30" spans="1:7" x14ac:dyDescent="0.25">
      <c r="A30" s="36">
        <v>3</v>
      </c>
      <c r="B30" s="11">
        <v>14</v>
      </c>
      <c r="C30" s="12" t="s">
        <v>18</v>
      </c>
      <c r="D30" s="12" t="s">
        <v>16</v>
      </c>
      <c r="E30" s="13" t="s">
        <v>46</v>
      </c>
      <c r="F30" s="10">
        <v>0.83</v>
      </c>
      <c r="G30" s="89">
        <v>83</v>
      </c>
    </row>
    <row r="31" spans="1:7" x14ac:dyDescent="0.25">
      <c r="A31" s="36">
        <v>3</v>
      </c>
      <c r="B31" s="11">
        <v>17</v>
      </c>
      <c r="C31" s="12" t="s">
        <v>18</v>
      </c>
      <c r="D31" s="12" t="s">
        <v>19</v>
      </c>
      <c r="E31" s="13" t="s">
        <v>46</v>
      </c>
      <c r="F31" s="10">
        <v>0.73</v>
      </c>
      <c r="G31" s="89"/>
    </row>
    <row r="32" spans="1:7" x14ac:dyDescent="0.25">
      <c r="A32" s="36">
        <v>3</v>
      </c>
      <c r="B32" s="11">
        <v>17</v>
      </c>
      <c r="C32" s="12" t="s">
        <v>18</v>
      </c>
      <c r="D32" s="12" t="s">
        <v>23</v>
      </c>
      <c r="E32" s="13" t="s">
        <v>46</v>
      </c>
      <c r="F32" s="9">
        <v>0.82</v>
      </c>
      <c r="G32" s="89"/>
    </row>
    <row r="33" spans="1:7" x14ac:dyDescent="0.25">
      <c r="A33" s="36">
        <v>3</v>
      </c>
      <c r="B33" s="11">
        <v>18</v>
      </c>
      <c r="C33" s="12" t="s">
        <v>18</v>
      </c>
      <c r="D33" s="12" t="s">
        <v>22</v>
      </c>
      <c r="E33" s="13" t="s">
        <v>30</v>
      </c>
      <c r="F33" s="10">
        <v>0.83</v>
      </c>
      <c r="G33" s="89"/>
    </row>
    <row r="34" spans="1:7" x14ac:dyDescent="0.25">
      <c r="A34" s="36">
        <v>3</v>
      </c>
      <c r="B34" s="11">
        <v>18</v>
      </c>
      <c r="C34" s="12" t="s">
        <v>18</v>
      </c>
      <c r="D34" s="12" t="s">
        <v>23</v>
      </c>
      <c r="E34" s="13" t="s">
        <v>30</v>
      </c>
      <c r="F34" s="10">
        <v>1</v>
      </c>
      <c r="G34" s="89"/>
    </row>
    <row r="35" spans="1:7" x14ac:dyDescent="0.25">
      <c r="A35" s="36">
        <v>3</v>
      </c>
      <c r="B35" s="11">
        <v>19</v>
      </c>
      <c r="C35" s="12" t="s">
        <v>18</v>
      </c>
      <c r="D35" s="12" t="s">
        <v>22</v>
      </c>
      <c r="E35" s="13" t="s">
        <v>46</v>
      </c>
      <c r="F35" s="10">
        <v>0.83</v>
      </c>
      <c r="G35" s="89"/>
    </row>
    <row r="36" spans="1:7" x14ac:dyDescent="0.25">
      <c r="A36" s="36">
        <v>3</v>
      </c>
      <c r="B36" s="11">
        <v>19</v>
      </c>
      <c r="C36" s="12" t="s">
        <v>18</v>
      </c>
      <c r="D36" s="12" t="s">
        <v>23</v>
      </c>
      <c r="E36" s="13" t="s">
        <v>46</v>
      </c>
      <c r="F36" s="10">
        <v>0.8</v>
      </c>
      <c r="G36" s="89"/>
    </row>
    <row r="37" spans="1:7" x14ac:dyDescent="0.25">
      <c r="A37" s="36">
        <v>3</v>
      </c>
      <c r="B37" s="11">
        <v>27</v>
      </c>
      <c r="C37" s="12" t="s">
        <v>18</v>
      </c>
      <c r="D37" s="12" t="s">
        <v>16</v>
      </c>
      <c r="E37" s="13" t="s">
        <v>48</v>
      </c>
      <c r="F37" s="10">
        <v>0.8</v>
      </c>
      <c r="G37" s="89"/>
    </row>
    <row r="38" spans="1:7" x14ac:dyDescent="0.25">
      <c r="A38" s="36">
        <v>3</v>
      </c>
      <c r="B38" s="17">
        <v>28</v>
      </c>
      <c r="C38" s="18" t="s">
        <v>15</v>
      </c>
      <c r="D38" s="18" t="s">
        <v>27</v>
      </c>
      <c r="E38" s="13" t="s">
        <v>21</v>
      </c>
      <c r="F38" s="10">
        <v>1</v>
      </c>
      <c r="G38" s="30">
        <v>100</v>
      </c>
    </row>
    <row r="39" spans="1:7" ht="19.5" customHeight="1" x14ac:dyDescent="0.25">
      <c r="A39" s="38">
        <v>4</v>
      </c>
      <c r="B39" s="4">
        <v>1</v>
      </c>
      <c r="C39" s="7" t="s">
        <v>18</v>
      </c>
      <c r="D39" s="7" t="s">
        <v>16</v>
      </c>
      <c r="E39" s="8" t="s">
        <v>56</v>
      </c>
      <c r="F39" s="10">
        <v>0.81818181818181823</v>
      </c>
      <c r="G39" s="89">
        <v>83</v>
      </c>
    </row>
    <row r="40" spans="1:7" x14ac:dyDescent="0.25">
      <c r="A40" s="38">
        <v>4</v>
      </c>
      <c r="B40" s="4">
        <v>2</v>
      </c>
      <c r="C40" s="5" t="s">
        <v>18</v>
      </c>
      <c r="D40" s="5" t="s">
        <v>19</v>
      </c>
      <c r="E40" s="6" t="s">
        <v>56</v>
      </c>
      <c r="F40" s="10">
        <v>0.7142857142857143</v>
      </c>
      <c r="G40" s="89"/>
    </row>
    <row r="41" spans="1:7" x14ac:dyDescent="0.25">
      <c r="A41" s="38">
        <v>4</v>
      </c>
      <c r="B41" s="4">
        <v>2</v>
      </c>
      <c r="C41" s="7" t="s">
        <v>18</v>
      </c>
      <c r="D41" s="7" t="s">
        <v>20</v>
      </c>
      <c r="E41" s="8" t="s">
        <v>56</v>
      </c>
      <c r="F41" s="10">
        <v>0.8571428571428571</v>
      </c>
      <c r="G41" s="89"/>
    </row>
    <row r="42" spans="1:7" x14ac:dyDescent="0.25">
      <c r="A42" s="38">
        <v>4</v>
      </c>
      <c r="B42" s="4">
        <v>4</v>
      </c>
      <c r="C42" s="5" t="s">
        <v>18</v>
      </c>
      <c r="D42" s="5" t="s">
        <v>22</v>
      </c>
      <c r="E42" s="41" t="s">
        <v>56</v>
      </c>
      <c r="F42" s="42">
        <v>0.75</v>
      </c>
      <c r="G42" s="89"/>
    </row>
    <row r="43" spans="1:7" x14ac:dyDescent="0.25">
      <c r="A43" s="38">
        <v>4</v>
      </c>
      <c r="B43" s="4">
        <v>4</v>
      </c>
      <c r="C43" s="7" t="s">
        <v>18</v>
      </c>
      <c r="D43" s="7" t="s">
        <v>23</v>
      </c>
      <c r="E43" s="13" t="s">
        <v>56</v>
      </c>
      <c r="F43" s="42">
        <v>0.77777777777777779</v>
      </c>
      <c r="G43" s="89"/>
    </row>
    <row r="44" spans="1:7" x14ac:dyDescent="0.25">
      <c r="A44" s="38">
        <v>4</v>
      </c>
      <c r="B44" s="4">
        <v>7</v>
      </c>
      <c r="C44" s="5" t="s">
        <v>18</v>
      </c>
      <c r="D44" s="5" t="s">
        <v>16</v>
      </c>
      <c r="E44" s="6" t="s">
        <v>57</v>
      </c>
      <c r="F44" s="42">
        <v>1</v>
      </c>
      <c r="G44" s="89"/>
    </row>
    <row r="45" spans="1:7" x14ac:dyDescent="0.25">
      <c r="A45" s="38">
        <v>4</v>
      </c>
      <c r="B45" s="4">
        <v>8</v>
      </c>
      <c r="C45" s="7" t="s">
        <v>18</v>
      </c>
      <c r="D45" s="7" t="s">
        <v>19</v>
      </c>
      <c r="E45" s="8" t="s">
        <v>57</v>
      </c>
      <c r="F45" s="42">
        <v>0.8571428571428571</v>
      </c>
      <c r="G45" s="89"/>
    </row>
    <row r="46" spans="1:7" x14ac:dyDescent="0.25">
      <c r="A46" s="38">
        <v>4</v>
      </c>
      <c r="B46" s="4">
        <v>8</v>
      </c>
      <c r="C46" s="5" t="s">
        <v>18</v>
      </c>
      <c r="D46" s="5" t="s">
        <v>20</v>
      </c>
      <c r="E46" s="41" t="s">
        <v>57</v>
      </c>
      <c r="F46" s="42">
        <v>0.8571428571428571</v>
      </c>
      <c r="G46" s="89"/>
    </row>
    <row r="47" spans="1:7" x14ac:dyDescent="0.25">
      <c r="A47" s="38">
        <v>4</v>
      </c>
      <c r="B47" s="4">
        <v>22</v>
      </c>
      <c r="C47" s="5" t="s">
        <v>18</v>
      </c>
      <c r="D47" s="5" t="s">
        <v>27</v>
      </c>
      <c r="E47" s="41" t="s">
        <v>30</v>
      </c>
      <c r="F47" s="10">
        <v>0.7142857142857143</v>
      </c>
      <c r="G47" s="89"/>
    </row>
    <row r="48" spans="1:7" x14ac:dyDescent="0.25">
      <c r="A48" s="38">
        <v>4</v>
      </c>
      <c r="B48" s="4">
        <v>30</v>
      </c>
      <c r="C48" s="7" t="s">
        <v>18</v>
      </c>
      <c r="D48" s="7" t="s">
        <v>27</v>
      </c>
      <c r="E48" s="13" t="s">
        <v>46</v>
      </c>
      <c r="F48" s="10">
        <v>1</v>
      </c>
      <c r="G48" s="89"/>
    </row>
    <row r="49" spans="1:7" x14ac:dyDescent="0.25">
      <c r="A49" s="38">
        <v>4</v>
      </c>
      <c r="B49" s="4">
        <v>9</v>
      </c>
      <c r="C49" s="7" t="s">
        <v>58</v>
      </c>
      <c r="D49" s="7" t="s">
        <v>23</v>
      </c>
      <c r="E49" s="13" t="s">
        <v>59</v>
      </c>
      <c r="F49" s="42">
        <v>1</v>
      </c>
      <c r="G49" s="88">
        <v>100</v>
      </c>
    </row>
    <row r="50" spans="1:7" x14ac:dyDescent="0.25">
      <c r="A50" s="38">
        <v>4</v>
      </c>
      <c r="B50" s="4">
        <v>11</v>
      </c>
      <c r="C50" s="5" t="s">
        <v>58</v>
      </c>
      <c r="D50" s="5" t="s">
        <v>36</v>
      </c>
      <c r="E50" s="6" t="s">
        <v>59</v>
      </c>
      <c r="F50" s="42">
        <v>1</v>
      </c>
      <c r="G50" s="88"/>
    </row>
    <row r="51" spans="1:7" x14ac:dyDescent="0.25">
      <c r="A51" s="38">
        <v>4</v>
      </c>
      <c r="B51" s="4">
        <v>1</v>
      </c>
      <c r="C51" s="5" t="s">
        <v>15</v>
      </c>
      <c r="D51" s="5" t="s">
        <v>28</v>
      </c>
      <c r="E51" s="6" t="s">
        <v>21</v>
      </c>
      <c r="F51" s="10">
        <v>1</v>
      </c>
      <c r="G51" s="89">
        <v>85</v>
      </c>
    </row>
    <row r="52" spans="1:7" x14ac:dyDescent="0.25">
      <c r="A52" s="38">
        <v>4</v>
      </c>
      <c r="B52" s="4">
        <v>1</v>
      </c>
      <c r="C52" s="7" t="s">
        <v>15</v>
      </c>
      <c r="D52" s="7" t="s">
        <v>35</v>
      </c>
      <c r="E52" s="13" t="s">
        <v>21</v>
      </c>
      <c r="F52" s="10">
        <v>1</v>
      </c>
      <c r="G52" s="89"/>
    </row>
    <row r="53" spans="1:7" x14ac:dyDescent="0.25">
      <c r="A53" s="38">
        <v>4</v>
      </c>
      <c r="B53" s="4">
        <v>2</v>
      </c>
      <c r="C53" s="5" t="s">
        <v>15</v>
      </c>
      <c r="D53" s="5" t="s">
        <v>22</v>
      </c>
      <c r="E53" s="41" t="s">
        <v>48</v>
      </c>
      <c r="F53" s="42">
        <v>0.77777777777777779</v>
      </c>
      <c r="G53" s="89"/>
    </row>
    <row r="54" spans="1:7" x14ac:dyDescent="0.25">
      <c r="A54" s="38">
        <v>4</v>
      </c>
      <c r="B54" s="4">
        <v>2</v>
      </c>
      <c r="C54" s="7" t="s">
        <v>15</v>
      </c>
      <c r="D54" s="7" t="s">
        <v>23</v>
      </c>
      <c r="E54" s="13" t="s">
        <v>48</v>
      </c>
      <c r="F54" s="42">
        <v>0.77777777777777779</v>
      </c>
      <c r="G54" s="89"/>
    </row>
    <row r="55" spans="1:7" x14ac:dyDescent="0.25">
      <c r="A55" s="38">
        <v>4</v>
      </c>
      <c r="B55" s="4">
        <v>15</v>
      </c>
      <c r="C55" s="7" t="s">
        <v>15</v>
      </c>
      <c r="D55" s="7" t="s">
        <v>16</v>
      </c>
      <c r="E55" s="13" t="s">
        <v>65</v>
      </c>
      <c r="F55" s="45">
        <v>0.7</v>
      </c>
      <c r="G55" s="89"/>
    </row>
    <row r="56" spans="1:7" x14ac:dyDescent="0.25">
      <c r="A56" s="38">
        <v>4</v>
      </c>
      <c r="B56" s="4">
        <v>16</v>
      </c>
      <c r="C56" s="5" t="s">
        <v>15</v>
      </c>
      <c r="D56" s="5" t="s">
        <v>19</v>
      </c>
      <c r="E56" s="41" t="s">
        <v>65</v>
      </c>
      <c r="F56" s="45">
        <v>0.7</v>
      </c>
      <c r="G56" s="89"/>
    </row>
    <row r="57" spans="1:7" x14ac:dyDescent="0.25">
      <c r="A57" s="38">
        <v>4</v>
      </c>
      <c r="B57" s="4">
        <v>16</v>
      </c>
      <c r="C57" s="7" t="s">
        <v>15</v>
      </c>
      <c r="D57" s="7" t="s">
        <v>20</v>
      </c>
      <c r="E57" s="13" t="s">
        <v>65</v>
      </c>
      <c r="F57" s="45">
        <v>0.7</v>
      </c>
      <c r="G57" s="89"/>
    </row>
    <row r="58" spans="1:7" x14ac:dyDescent="0.25">
      <c r="A58" s="38">
        <v>4</v>
      </c>
      <c r="B58" s="4">
        <v>17</v>
      </c>
      <c r="C58" s="5" t="s">
        <v>15</v>
      </c>
      <c r="D58" s="5" t="s">
        <v>22</v>
      </c>
      <c r="E58" s="41" t="s">
        <v>65</v>
      </c>
      <c r="F58" s="45">
        <v>1</v>
      </c>
      <c r="G58" s="89"/>
    </row>
    <row r="59" spans="1:7" x14ac:dyDescent="0.25">
      <c r="A59" s="38">
        <v>4</v>
      </c>
      <c r="B59" s="4">
        <v>17</v>
      </c>
      <c r="C59" s="7" t="s">
        <v>15</v>
      </c>
      <c r="D59" s="7" t="s">
        <v>23</v>
      </c>
      <c r="E59" s="13" t="s">
        <v>65</v>
      </c>
      <c r="F59" s="45">
        <v>1</v>
      </c>
      <c r="G59" s="89"/>
    </row>
    <row r="60" spans="1:7" x14ac:dyDescent="0.25">
      <c r="A60" s="38">
        <v>4</v>
      </c>
      <c r="B60" s="4">
        <v>2</v>
      </c>
      <c r="C60" s="7" t="s">
        <v>25</v>
      </c>
      <c r="D60" s="7" t="s">
        <v>16</v>
      </c>
      <c r="E60" s="13" t="s">
        <v>60</v>
      </c>
      <c r="F60" s="42">
        <v>0.8</v>
      </c>
      <c r="G60" s="89">
        <v>74</v>
      </c>
    </row>
    <row r="61" spans="1:7" x14ac:dyDescent="0.25">
      <c r="A61" s="38">
        <v>4</v>
      </c>
      <c r="B61" s="4">
        <v>9</v>
      </c>
      <c r="C61" s="5" t="s">
        <v>25</v>
      </c>
      <c r="D61" s="5" t="s">
        <v>19</v>
      </c>
      <c r="E61" s="41" t="s">
        <v>60</v>
      </c>
      <c r="F61" s="42">
        <v>0.8</v>
      </c>
      <c r="G61" s="89"/>
    </row>
    <row r="62" spans="1:7" x14ac:dyDescent="0.25">
      <c r="A62" s="38">
        <v>4</v>
      </c>
      <c r="B62" s="4">
        <v>9</v>
      </c>
      <c r="C62" s="7" t="s">
        <v>25</v>
      </c>
      <c r="D62" s="7" t="s">
        <v>23</v>
      </c>
      <c r="E62" s="13" t="s">
        <v>60</v>
      </c>
      <c r="F62" s="42">
        <v>0.8</v>
      </c>
      <c r="G62" s="89"/>
    </row>
    <row r="63" spans="1:7" x14ac:dyDescent="0.25">
      <c r="A63" s="38">
        <v>4</v>
      </c>
      <c r="B63" s="4">
        <v>1</v>
      </c>
      <c r="C63" s="5" t="s">
        <v>25</v>
      </c>
      <c r="D63" s="5" t="s">
        <v>16</v>
      </c>
      <c r="E63" s="41" t="s">
        <v>61</v>
      </c>
      <c r="F63" s="42">
        <v>0.8571428571428571</v>
      </c>
      <c r="G63" s="89"/>
    </row>
    <row r="64" spans="1:7" x14ac:dyDescent="0.25">
      <c r="A64" s="38">
        <v>4</v>
      </c>
      <c r="B64" s="4">
        <v>8</v>
      </c>
      <c r="C64" s="7" t="s">
        <v>25</v>
      </c>
      <c r="D64" s="7" t="s">
        <v>19</v>
      </c>
      <c r="E64" s="13" t="s">
        <v>61</v>
      </c>
      <c r="F64" s="10">
        <v>0.8</v>
      </c>
      <c r="G64" s="89"/>
    </row>
    <row r="65" spans="1:7" x14ac:dyDescent="0.25">
      <c r="A65" s="38">
        <v>4</v>
      </c>
      <c r="B65" s="4">
        <v>8</v>
      </c>
      <c r="C65" s="5" t="s">
        <v>25</v>
      </c>
      <c r="D65" s="5" t="s">
        <v>20</v>
      </c>
      <c r="E65" s="41" t="s">
        <v>61</v>
      </c>
      <c r="F65" s="49">
        <v>0.6</v>
      </c>
      <c r="G65" s="89"/>
    </row>
    <row r="66" spans="1:7" x14ac:dyDescent="0.25">
      <c r="A66" s="38">
        <v>4</v>
      </c>
      <c r="B66" s="4">
        <v>11</v>
      </c>
      <c r="C66" s="5" t="s">
        <v>25</v>
      </c>
      <c r="D66" s="5" t="s">
        <v>22</v>
      </c>
      <c r="E66" s="41" t="s">
        <v>61</v>
      </c>
      <c r="F66" s="9">
        <v>0.83333333333333337</v>
      </c>
      <c r="G66" s="89"/>
    </row>
    <row r="67" spans="1:7" x14ac:dyDescent="0.25">
      <c r="A67" s="38">
        <v>4</v>
      </c>
      <c r="B67" s="4">
        <v>11</v>
      </c>
      <c r="C67" s="7" t="s">
        <v>25</v>
      </c>
      <c r="D67" s="7" t="s">
        <v>23</v>
      </c>
      <c r="E67" s="13" t="s">
        <v>61</v>
      </c>
      <c r="F67" s="50">
        <v>0.5</v>
      </c>
      <c r="G67" s="89"/>
    </row>
    <row r="68" spans="1:7" x14ac:dyDescent="0.25">
      <c r="A68" s="38">
        <v>4</v>
      </c>
      <c r="B68" s="4">
        <v>29</v>
      </c>
      <c r="C68" s="5" t="s">
        <v>25</v>
      </c>
      <c r="D68" s="5" t="s">
        <v>22</v>
      </c>
      <c r="E68" s="41" t="s">
        <v>64</v>
      </c>
      <c r="F68" s="49">
        <v>0.66666666666666663</v>
      </c>
      <c r="G68" s="89"/>
    </row>
    <row r="69" spans="1:7" x14ac:dyDescent="0.25">
      <c r="A69" s="38">
        <v>4</v>
      </c>
      <c r="B69" s="4">
        <v>29</v>
      </c>
      <c r="C69" s="7" t="s">
        <v>25</v>
      </c>
      <c r="D69" s="7" t="s">
        <v>23</v>
      </c>
      <c r="E69" s="13" t="s">
        <v>64</v>
      </c>
      <c r="F69" s="49">
        <v>0.5</v>
      </c>
      <c r="G69" s="89"/>
    </row>
    <row r="70" spans="1:7" x14ac:dyDescent="0.25">
      <c r="A70" s="38">
        <v>4</v>
      </c>
      <c r="B70" s="4">
        <v>30</v>
      </c>
      <c r="C70" s="5" t="s">
        <v>25</v>
      </c>
      <c r="D70" s="5" t="s">
        <v>20</v>
      </c>
      <c r="E70" s="41" t="s">
        <v>60</v>
      </c>
      <c r="F70" s="9">
        <v>1</v>
      </c>
      <c r="G70" s="89"/>
    </row>
    <row r="71" spans="1:7" x14ac:dyDescent="0.25">
      <c r="A71" s="38">
        <v>4</v>
      </c>
      <c r="B71" s="4">
        <v>1</v>
      </c>
      <c r="C71" s="5" t="s">
        <v>45</v>
      </c>
      <c r="D71" s="5" t="s">
        <v>19</v>
      </c>
      <c r="E71" s="41" t="s">
        <v>48</v>
      </c>
      <c r="F71" s="10">
        <v>0.8</v>
      </c>
      <c r="G71" s="89">
        <v>87</v>
      </c>
    </row>
    <row r="72" spans="1:7" x14ac:dyDescent="0.25">
      <c r="A72" s="38">
        <v>4</v>
      </c>
      <c r="B72" s="4">
        <v>1</v>
      </c>
      <c r="C72" s="7" t="s">
        <v>45</v>
      </c>
      <c r="D72" s="7" t="s">
        <v>20</v>
      </c>
      <c r="E72" s="13" t="s">
        <v>48</v>
      </c>
      <c r="F72" s="10">
        <v>0.75</v>
      </c>
      <c r="G72" s="89"/>
    </row>
    <row r="73" spans="1:7" x14ac:dyDescent="0.25">
      <c r="A73" s="38">
        <v>4</v>
      </c>
      <c r="B73" s="4">
        <v>2</v>
      </c>
      <c r="C73" s="5" t="s">
        <v>45</v>
      </c>
      <c r="D73" s="5" t="s">
        <v>22</v>
      </c>
      <c r="E73" s="41" t="s">
        <v>47</v>
      </c>
      <c r="F73" s="42">
        <v>1</v>
      </c>
      <c r="G73" s="89"/>
    </row>
    <row r="74" spans="1:7" x14ac:dyDescent="0.25">
      <c r="A74" s="38">
        <v>4</v>
      </c>
      <c r="B74" s="4">
        <v>2</v>
      </c>
      <c r="C74" s="7" t="s">
        <v>45</v>
      </c>
      <c r="D74" s="7" t="s">
        <v>23</v>
      </c>
      <c r="E74" s="13" t="s">
        <v>47</v>
      </c>
      <c r="F74" s="42">
        <v>0.75</v>
      </c>
      <c r="G74" s="89"/>
    </row>
    <row r="75" spans="1:7" x14ac:dyDescent="0.25">
      <c r="A75" s="38">
        <v>4</v>
      </c>
      <c r="B75" s="4">
        <v>11</v>
      </c>
      <c r="C75" s="5" t="s">
        <v>45</v>
      </c>
      <c r="D75" s="5" t="s">
        <v>22</v>
      </c>
      <c r="E75" s="41" t="s">
        <v>57</v>
      </c>
      <c r="F75" s="42">
        <v>1</v>
      </c>
      <c r="G75" s="89"/>
    </row>
    <row r="76" spans="1:7" x14ac:dyDescent="0.25">
      <c r="A76" s="38">
        <v>4</v>
      </c>
      <c r="B76" s="4">
        <v>11</v>
      </c>
      <c r="C76" s="7" t="s">
        <v>45</v>
      </c>
      <c r="D76" s="7" t="s">
        <v>23</v>
      </c>
      <c r="E76" s="13" t="s">
        <v>57</v>
      </c>
      <c r="F76" s="42">
        <v>0.83333333333333337</v>
      </c>
      <c r="G76" s="89"/>
    </row>
    <row r="77" spans="1:7" x14ac:dyDescent="0.25">
      <c r="A77" s="38">
        <v>4</v>
      </c>
      <c r="B77" s="4">
        <v>8</v>
      </c>
      <c r="C77" s="7" t="s">
        <v>45</v>
      </c>
      <c r="D77" s="7" t="s">
        <v>16</v>
      </c>
      <c r="E77" s="13" t="s">
        <v>62</v>
      </c>
      <c r="F77" s="45">
        <v>0.75</v>
      </c>
      <c r="G77" s="89"/>
    </row>
    <row r="78" spans="1:7" x14ac:dyDescent="0.25">
      <c r="A78" s="38">
        <v>4</v>
      </c>
      <c r="B78" s="4">
        <v>9</v>
      </c>
      <c r="C78" s="5" t="s">
        <v>45</v>
      </c>
      <c r="D78" s="5" t="s">
        <v>19</v>
      </c>
      <c r="E78" s="41" t="s">
        <v>62</v>
      </c>
      <c r="F78" s="44">
        <v>0.77777777777777779</v>
      </c>
      <c r="G78" s="89"/>
    </row>
    <row r="79" spans="1:7" x14ac:dyDescent="0.25">
      <c r="A79" s="38">
        <v>4</v>
      </c>
      <c r="B79" s="4">
        <v>9</v>
      </c>
      <c r="C79" s="7" t="s">
        <v>45</v>
      </c>
      <c r="D79" s="7" t="s">
        <v>20</v>
      </c>
      <c r="E79" s="13" t="s">
        <v>62</v>
      </c>
      <c r="F79" s="44">
        <v>1</v>
      </c>
      <c r="G79" s="89"/>
    </row>
    <row r="80" spans="1:7" x14ac:dyDescent="0.25">
      <c r="A80" s="38">
        <v>4</v>
      </c>
      <c r="B80" s="4">
        <v>10</v>
      </c>
      <c r="C80" s="5" t="s">
        <v>45</v>
      </c>
      <c r="D80" s="5" t="s">
        <v>22</v>
      </c>
      <c r="E80" s="41" t="s">
        <v>62</v>
      </c>
      <c r="F80" s="45">
        <v>1</v>
      </c>
      <c r="G80" s="89"/>
    </row>
    <row r="81" spans="1:7" x14ac:dyDescent="0.25">
      <c r="A81" s="38">
        <v>4</v>
      </c>
      <c r="B81" s="4">
        <v>10</v>
      </c>
      <c r="C81" s="7" t="s">
        <v>45</v>
      </c>
      <c r="D81" s="7" t="s">
        <v>23</v>
      </c>
      <c r="E81" s="13" t="s">
        <v>62</v>
      </c>
      <c r="F81" s="45">
        <v>1</v>
      </c>
      <c r="G81" s="89"/>
    </row>
    <row r="82" spans="1:7" x14ac:dyDescent="0.25">
      <c r="A82" s="38">
        <v>4</v>
      </c>
      <c r="B82" s="4">
        <v>18</v>
      </c>
      <c r="C82" s="18" t="s">
        <v>45</v>
      </c>
      <c r="D82" s="7" t="s">
        <v>19</v>
      </c>
      <c r="E82" s="13" t="s">
        <v>64</v>
      </c>
      <c r="F82" s="10">
        <v>0.72727272727272729</v>
      </c>
      <c r="G82" s="89"/>
    </row>
    <row r="83" spans="1:7" x14ac:dyDescent="0.25">
      <c r="A83" s="38">
        <v>4</v>
      </c>
      <c r="B83" s="4">
        <v>18</v>
      </c>
      <c r="C83" s="48" t="s">
        <v>45</v>
      </c>
      <c r="D83" s="5" t="s">
        <v>20</v>
      </c>
      <c r="E83" s="41" t="s">
        <v>64</v>
      </c>
      <c r="F83" s="45">
        <v>0.9</v>
      </c>
      <c r="G83" s="89"/>
    </row>
    <row r="84" spans="1:7" x14ac:dyDescent="0.25">
      <c r="A84" s="38">
        <v>4</v>
      </c>
      <c r="B84" s="4">
        <v>14</v>
      </c>
      <c r="C84" s="5" t="s">
        <v>63</v>
      </c>
      <c r="D84" s="5" t="s">
        <v>16</v>
      </c>
      <c r="E84" s="41" t="s">
        <v>64</v>
      </c>
      <c r="F84" s="10">
        <v>0.75</v>
      </c>
      <c r="G84" s="30">
        <v>75</v>
      </c>
    </row>
    <row r="85" spans="1:7" x14ac:dyDescent="0.25">
      <c r="A85" s="33">
        <v>5</v>
      </c>
      <c r="B85" s="11">
        <v>13</v>
      </c>
      <c r="C85" s="12" t="s">
        <v>18</v>
      </c>
      <c r="D85" s="12" t="s">
        <v>16</v>
      </c>
      <c r="E85" s="13" t="s">
        <v>66</v>
      </c>
      <c r="F85" s="14" t="str">
        <f t="shared" ref="F85:F90" si="0">IFERROR(E85/C85-D85/C85,"")</f>
        <v/>
      </c>
      <c r="G85" s="89">
        <v>81</v>
      </c>
    </row>
    <row r="86" spans="1:7" x14ac:dyDescent="0.25">
      <c r="A86" s="33">
        <v>5</v>
      </c>
      <c r="B86" s="11">
        <v>19</v>
      </c>
      <c r="C86" s="12" t="s">
        <v>18</v>
      </c>
      <c r="D86" s="12" t="s">
        <v>19</v>
      </c>
      <c r="E86" s="13" t="s">
        <v>66</v>
      </c>
      <c r="F86" s="14" t="str">
        <f t="shared" si="0"/>
        <v/>
      </c>
      <c r="G86" s="89"/>
    </row>
    <row r="87" spans="1:7" x14ac:dyDescent="0.25">
      <c r="A87" s="33">
        <v>5</v>
      </c>
      <c r="B87" s="11">
        <v>19</v>
      </c>
      <c r="C87" s="12" t="s">
        <v>18</v>
      </c>
      <c r="D87" s="12" t="s">
        <v>20</v>
      </c>
      <c r="E87" s="13" t="s">
        <v>66</v>
      </c>
      <c r="F87" s="14" t="str">
        <f t="shared" si="0"/>
        <v/>
      </c>
      <c r="G87" s="89"/>
    </row>
    <row r="88" spans="1:7" x14ac:dyDescent="0.25">
      <c r="A88" s="33">
        <v>5</v>
      </c>
      <c r="B88" s="11">
        <v>23</v>
      </c>
      <c r="C88" s="12" t="s">
        <v>18</v>
      </c>
      <c r="D88" s="12" t="s">
        <v>16</v>
      </c>
      <c r="E88" s="13" t="s">
        <v>69</v>
      </c>
      <c r="F88" s="14" t="str">
        <f t="shared" si="0"/>
        <v/>
      </c>
      <c r="G88" s="89"/>
    </row>
    <row r="89" spans="1:7" x14ac:dyDescent="0.25">
      <c r="A89" s="33">
        <v>5</v>
      </c>
      <c r="B89" s="11">
        <v>27</v>
      </c>
      <c r="C89" s="12" t="s">
        <v>18</v>
      </c>
      <c r="D89" s="12" t="s">
        <v>27</v>
      </c>
      <c r="E89" s="13" t="s">
        <v>48</v>
      </c>
      <c r="F89" s="14" t="str">
        <f t="shared" si="0"/>
        <v/>
      </c>
      <c r="G89" s="89"/>
    </row>
    <row r="90" spans="1:7" x14ac:dyDescent="0.25">
      <c r="A90" s="33">
        <v>5</v>
      </c>
      <c r="B90" s="11">
        <v>30</v>
      </c>
      <c r="C90" s="12" t="s">
        <v>18</v>
      </c>
      <c r="D90" s="12" t="s">
        <v>27</v>
      </c>
      <c r="E90" s="13" t="s">
        <v>57</v>
      </c>
      <c r="F90" s="14" t="str">
        <f t="shared" si="0"/>
        <v/>
      </c>
      <c r="G90" s="89"/>
    </row>
    <row r="91" spans="1:7" x14ac:dyDescent="0.25">
      <c r="A91" s="33">
        <v>5</v>
      </c>
      <c r="B91" s="11">
        <v>13</v>
      </c>
      <c r="C91" s="12" t="s">
        <v>58</v>
      </c>
      <c r="D91" s="12" t="s">
        <v>27</v>
      </c>
      <c r="E91" s="13" t="s">
        <v>59</v>
      </c>
      <c r="F91" s="10"/>
      <c r="G91" s="89">
        <v>82</v>
      </c>
    </row>
    <row r="92" spans="1:7" x14ac:dyDescent="0.25">
      <c r="A92" s="33">
        <v>5</v>
      </c>
      <c r="B92" s="11">
        <v>15</v>
      </c>
      <c r="C92" s="12" t="s">
        <v>58</v>
      </c>
      <c r="D92" s="12" t="s">
        <v>16</v>
      </c>
      <c r="E92" s="13" t="s">
        <v>67</v>
      </c>
      <c r="F92" s="10"/>
      <c r="G92" s="89"/>
    </row>
    <row r="93" spans="1:7" x14ac:dyDescent="0.25">
      <c r="A93" s="33">
        <v>5</v>
      </c>
      <c r="B93" s="11">
        <v>20</v>
      </c>
      <c r="C93" s="12" t="s">
        <v>58</v>
      </c>
      <c r="D93" s="12" t="s">
        <v>19</v>
      </c>
      <c r="E93" s="13" t="s">
        <v>67</v>
      </c>
      <c r="F93" s="10"/>
      <c r="G93" s="89"/>
    </row>
    <row r="94" spans="1:7" x14ac:dyDescent="0.25">
      <c r="A94" s="33">
        <v>5</v>
      </c>
      <c r="B94" s="11">
        <v>20</v>
      </c>
      <c r="C94" s="12" t="s">
        <v>58</v>
      </c>
      <c r="D94" s="12" t="s">
        <v>20</v>
      </c>
      <c r="E94" s="13" t="s">
        <v>67</v>
      </c>
      <c r="F94" s="42"/>
      <c r="G94" s="89"/>
    </row>
    <row r="95" spans="1:7" x14ac:dyDescent="0.25">
      <c r="A95" s="33">
        <v>5</v>
      </c>
      <c r="B95" s="11">
        <v>23</v>
      </c>
      <c r="C95" s="12" t="s">
        <v>58</v>
      </c>
      <c r="D95" s="12" t="s">
        <v>36</v>
      </c>
      <c r="E95" s="13" t="s">
        <v>46</v>
      </c>
      <c r="F95" s="43"/>
      <c r="G95" s="89"/>
    </row>
    <row r="96" spans="1:7" x14ac:dyDescent="0.25">
      <c r="A96" s="33">
        <v>5</v>
      </c>
      <c r="B96" s="11">
        <v>22</v>
      </c>
      <c r="C96" s="12" t="s">
        <v>58</v>
      </c>
      <c r="D96" s="12" t="s">
        <v>22</v>
      </c>
      <c r="E96" s="13" t="s">
        <v>67</v>
      </c>
      <c r="F96" s="10"/>
      <c r="G96" s="89"/>
    </row>
    <row r="97" spans="1:7" x14ac:dyDescent="0.25">
      <c r="A97" s="33">
        <v>5</v>
      </c>
      <c r="B97" s="11">
        <v>22</v>
      </c>
      <c r="C97" s="12" t="s">
        <v>58</v>
      </c>
      <c r="D97" s="12" t="s">
        <v>23</v>
      </c>
      <c r="E97" s="13" t="s">
        <v>67</v>
      </c>
      <c r="F97" s="10"/>
      <c r="G97" s="89"/>
    </row>
    <row r="98" spans="1:7" x14ac:dyDescent="0.25">
      <c r="A98" s="33">
        <v>5</v>
      </c>
      <c r="B98" s="11">
        <v>20</v>
      </c>
      <c r="C98" s="12" t="s">
        <v>15</v>
      </c>
      <c r="D98" s="12" t="s">
        <v>27</v>
      </c>
      <c r="E98" s="13" t="s">
        <v>61</v>
      </c>
      <c r="F98" s="9"/>
      <c r="G98" s="89">
        <v>84</v>
      </c>
    </row>
    <row r="99" spans="1:7" x14ac:dyDescent="0.25">
      <c r="A99" s="33">
        <v>5</v>
      </c>
      <c r="B99" s="11">
        <v>22</v>
      </c>
      <c r="C99" s="12" t="s">
        <v>15</v>
      </c>
      <c r="D99" s="12" t="s">
        <v>22</v>
      </c>
      <c r="E99" s="13" t="s">
        <v>66</v>
      </c>
      <c r="F99" s="10"/>
      <c r="G99" s="89"/>
    </row>
    <row r="100" spans="1:7" x14ac:dyDescent="0.25">
      <c r="A100" s="33">
        <v>5</v>
      </c>
      <c r="B100" s="11">
        <v>22</v>
      </c>
      <c r="C100" s="12" t="s">
        <v>15</v>
      </c>
      <c r="D100" s="12" t="s">
        <v>23</v>
      </c>
      <c r="E100" s="13" t="s">
        <v>66</v>
      </c>
      <c r="F100" s="10"/>
      <c r="G100" s="89"/>
    </row>
    <row r="101" spans="1:7" x14ac:dyDescent="0.25">
      <c r="A101" s="33">
        <v>5</v>
      </c>
      <c r="B101" s="11">
        <v>26</v>
      </c>
      <c r="C101" s="12" t="s">
        <v>15</v>
      </c>
      <c r="D101" s="12" t="s">
        <v>16</v>
      </c>
      <c r="E101" s="13" t="s">
        <v>70</v>
      </c>
      <c r="F101" s="9"/>
      <c r="G101" s="89"/>
    </row>
    <row r="102" spans="1:7" x14ac:dyDescent="0.25">
      <c r="A102" s="33">
        <v>5</v>
      </c>
      <c r="B102" s="11">
        <v>27</v>
      </c>
      <c r="C102" s="12" t="s">
        <v>15</v>
      </c>
      <c r="D102" s="12" t="s">
        <v>29</v>
      </c>
      <c r="E102" s="13" t="s">
        <v>61</v>
      </c>
      <c r="F102" s="10"/>
      <c r="G102" s="89"/>
    </row>
    <row r="103" spans="1:7" x14ac:dyDescent="0.25">
      <c r="A103" s="33">
        <v>5</v>
      </c>
      <c r="B103" s="11">
        <v>27</v>
      </c>
      <c r="C103" s="12" t="s">
        <v>15</v>
      </c>
      <c r="D103" s="12" t="s">
        <v>35</v>
      </c>
      <c r="E103" s="13" t="s">
        <v>61</v>
      </c>
      <c r="F103" s="9"/>
      <c r="G103" s="89"/>
    </row>
    <row r="104" spans="1:7" x14ac:dyDescent="0.25">
      <c r="A104" s="33">
        <v>5</v>
      </c>
      <c r="B104" s="11">
        <v>30</v>
      </c>
      <c r="C104" s="12" t="s">
        <v>25</v>
      </c>
      <c r="D104" s="12" t="s">
        <v>19</v>
      </c>
      <c r="E104" s="13" t="s">
        <v>69</v>
      </c>
      <c r="F104" s="10"/>
      <c r="G104" s="89"/>
    </row>
    <row r="105" spans="1:7" x14ac:dyDescent="0.25">
      <c r="A105" s="33">
        <v>5</v>
      </c>
      <c r="B105" s="11">
        <v>30</v>
      </c>
      <c r="C105" s="12" t="s">
        <v>25</v>
      </c>
      <c r="D105" s="12" t="s">
        <v>20</v>
      </c>
      <c r="E105" s="13" t="s">
        <v>69</v>
      </c>
      <c r="F105" s="10"/>
      <c r="G105" s="89"/>
    </row>
    <row r="106" spans="1:7" x14ac:dyDescent="0.25">
      <c r="A106" s="33">
        <v>5</v>
      </c>
      <c r="B106" s="11">
        <v>7</v>
      </c>
      <c r="C106" s="53" t="s">
        <v>25</v>
      </c>
      <c r="D106" s="53" t="s">
        <v>22</v>
      </c>
      <c r="E106" s="13" t="s">
        <v>60</v>
      </c>
      <c r="F106" s="10"/>
      <c r="G106" s="89"/>
    </row>
    <row r="107" spans="1:7" x14ac:dyDescent="0.25">
      <c r="A107" s="33">
        <v>5</v>
      </c>
      <c r="B107" s="11">
        <v>15</v>
      </c>
      <c r="C107" s="12" t="s">
        <v>45</v>
      </c>
      <c r="D107" s="12" t="s">
        <v>27</v>
      </c>
      <c r="E107" s="13" t="s">
        <v>62</v>
      </c>
      <c r="F107" s="10"/>
      <c r="G107" s="30">
        <v>83</v>
      </c>
    </row>
    <row r="108" spans="1:7" x14ac:dyDescent="0.25">
      <c r="A108" s="33">
        <v>5</v>
      </c>
      <c r="B108" s="11">
        <v>20</v>
      </c>
      <c r="C108" s="12" t="s">
        <v>63</v>
      </c>
      <c r="D108" s="12" t="s">
        <v>16</v>
      </c>
      <c r="E108" s="13" t="s">
        <v>68</v>
      </c>
      <c r="F108" s="10"/>
      <c r="G108" s="89">
        <v>75</v>
      </c>
    </row>
    <row r="109" spans="1:7" x14ac:dyDescent="0.25">
      <c r="A109" s="33">
        <v>5</v>
      </c>
      <c r="B109" s="11">
        <v>22</v>
      </c>
      <c r="C109" s="12" t="s">
        <v>63</v>
      </c>
      <c r="D109" s="12" t="s">
        <v>19</v>
      </c>
      <c r="E109" s="13" t="s">
        <v>68</v>
      </c>
      <c r="F109" s="10"/>
      <c r="G109" s="89"/>
    </row>
    <row r="110" spans="1:7" x14ac:dyDescent="0.25">
      <c r="A110" s="33">
        <v>5</v>
      </c>
      <c r="B110" s="11">
        <v>22</v>
      </c>
      <c r="C110" s="12" t="s">
        <v>63</v>
      </c>
      <c r="D110" s="12" t="s">
        <v>23</v>
      </c>
      <c r="E110" s="13" t="s">
        <v>68</v>
      </c>
      <c r="F110" s="9"/>
      <c r="G110" s="89"/>
    </row>
    <row r="111" spans="1:7" x14ac:dyDescent="0.25">
      <c r="A111" s="33">
        <v>5</v>
      </c>
      <c r="B111" s="11">
        <v>27</v>
      </c>
      <c r="C111" s="12" t="s">
        <v>63</v>
      </c>
      <c r="D111" s="12" t="s">
        <v>22</v>
      </c>
      <c r="E111" s="13" t="s">
        <v>68</v>
      </c>
      <c r="F111" s="52"/>
      <c r="G111" s="89"/>
    </row>
    <row r="112" spans="1:7" x14ac:dyDescent="0.25">
      <c r="A112" s="33">
        <v>5</v>
      </c>
      <c r="B112" s="17">
        <v>27</v>
      </c>
      <c r="C112" s="18" t="s">
        <v>63</v>
      </c>
      <c r="D112" s="18" t="s">
        <v>20</v>
      </c>
      <c r="E112" s="13" t="s">
        <v>68</v>
      </c>
      <c r="F112" s="52"/>
      <c r="G112" s="89"/>
    </row>
    <row r="113" spans="1:7" x14ac:dyDescent="0.25">
      <c r="A113" s="38">
        <v>6</v>
      </c>
      <c r="B113" s="4">
        <v>4</v>
      </c>
      <c r="C113" s="7" t="s">
        <v>18</v>
      </c>
      <c r="D113" s="7" t="s">
        <v>27</v>
      </c>
      <c r="E113" s="13" t="s">
        <v>56</v>
      </c>
      <c r="F113" s="64">
        <f>июнь!J2</f>
        <v>0.75</v>
      </c>
      <c r="G113" s="89">
        <v>77</v>
      </c>
    </row>
    <row r="114" spans="1:7" x14ac:dyDescent="0.25">
      <c r="A114" s="38">
        <v>6</v>
      </c>
      <c r="B114" s="4">
        <v>6</v>
      </c>
      <c r="C114" s="7" t="s">
        <v>18</v>
      </c>
      <c r="D114" s="7" t="s">
        <v>28</v>
      </c>
      <c r="E114" s="8" t="s">
        <v>48</v>
      </c>
      <c r="F114" s="64">
        <f>июнь!J3</f>
        <v>0.72727272727272729</v>
      </c>
      <c r="G114" s="89"/>
    </row>
    <row r="115" spans="1:7" x14ac:dyDescent="0.25">
      <c r="A115" s="38">
        <v>6</v>
      </c>
      <c r="B115" s="4">
        <v>6</v>
      </c>
      <c r="C115" s="5" t="s">
        <v>18</v>
      </c>
      <c r="D115" s="5" t="s">
        <v>35</v>
      </c>
      <c r="E115" s="41" t="s">
        <v>48</v>
      </c>
      <c r="F115" s="64">
        <f>июнь!J4</f>
        <v>0.75</v>
      </c>
      <c r="G115" s="89"/>
    </row>
    <row r="116" spans="1:7" x14ac:dyDescent="0.25">
      <c r="A116" s="38">
        <v>6</v>
      </c>
      <c r="B116" s="4">
        <v>25</v>
      </c>
      <c r="C116" s="5" t="s">
        <v>18</v>
      </c>
      <c r="D116" s="48" t="s">
        <v>22</v>
      </c>
      <c r="E116" s="40" t="s">
        <v>74</v>
      </c>
      <c r="F116" s="64">
        <f>июнь!J5</f>
        <v>1</v>
      </c>
      <c r="G116" s="89"/>
    </row>
    <row r="117" spans="1:7" x14ac:dyDescent="0.25">
      <c r="A117" s="38">
        <v>6</v>
      </c>
      <c r="B117" s="4">
        <v>25</v>
      </c>
      <c r="C117" s="7" t="s">
        <v>18</v>
      </c>
      <c r="D117" s="18" t="s">
        <v>23</v>
      </c>
      <c r="E117" s="39" t="s">
        <v>74</v>
      </c>
      <c r="F117" s="64">
        <f>июнь!J6</f>
        <v>1</v>
      </c>
      <c r="G117" s="89"/>
    </row>
    <row r="118" spans="1:7" x14ac:dyDescent="0.25">
      <c r="A118" s="38">
        <v>6</v>
      </c>
      <c r="B118" s="4">
        <v>26</v>
      </c>
      <c r="C118" s="7" t="s">
        <v>58</v>
      </c>
      <c r="D118" s="18" t="s">
        <v>75</v>
      </c>
      <c r="E118" s="13" t="s">
        <v>57</v>
      </c>
      <c r="F118" s="64">
        <f>июнь!J7</f>
        <v>0.8571428571428571</v>
      </c>
      <c r="G118" s="89">
        <v>75</v>
      </c>
    </row>
    <row r="119" spans="1:7" x14ac:dyDescent="0.25">
      <c r="A119" s="38">
        <v>6</v>
      </c>
      <c r="B119" s="4">
        <v>18</v>
      </c>
      <c r="C119" s="5" t="s">
        <v>58</v>
      </c>
      <c r="D119" s="48" t="s">
        <v>16</v>
      </c>
      <c r="E119" s="40" t="s">
        <v>74</v>
      </c>
      <c r="F119" s="64">
        <f>июнь!J8</f>
        <v>0.75</v>
      </c>
      <c r="G119" s="89"/>
    </row>
    <row r="120" spans="1:7" x14ac:dyDescent="0.25">
      <c r="A120" s="38">
        <v>6</v>
      </c>
      <c r="B120" s="4">
        <v>20</v>
      </c>
      <c r="C120" s="7" t="s">
        <v>58</v>
      </c>
      <c r="D120" s="7" t="s">
        <v>19</v>
      </c>
      <c r="E120" s="39" t="s">
        <v>74</v>
      </c>
      <c r="F120" s="64">
        <f>июнь!J9</f>
        <v>0.75</v>
      </c>
      <c r="G120" s="89"/>
    </row>
    <row r="121" spans="1:7" x14ac:dyDescent="0.25">
      <c r="A121" s="38">
        <v>6</v>
      </c>
      <c r="B121" s="4">
        <v>20</v>
      </c>
      <c r="C121" s="5" t="s">
        <v>58</v>
      </c>
      <c r="D121" s="5" t="s">
        <v>20</v>
      </c>
      <c r="E121" s="40" t="s">
        <v>74</v>
      </c>
      <c r="F121" s="64">
        <f>июнь!J10</f>
        <v>0.8</v>
      </c>
      <c r="G121" s="89"/>
    </row>
    <row r="122" spans="1:7" x14ac:dyDescent="0.25">
      <c r="A122" s="38">
        <v>6</v>
      </c>
      <c r="B122" s="4">
        <v>16</v>
      </c>
      <c r="C122" s="7" t="s">
        <v>58</v>
      </c>
      <c r="D122" s="7" t="s">
        <v>27</v>
      </c>
      <c r="E122" s="13" t="s">
        <v>24</v>
      </c>
      <c r="F122" s="64">
        <f>июнь!J11</f>
        <v>0.73333333333333328</v>
      </c>
      <c r="G122" s="89"/>
    </row>
    <row r="123" spans="1:7" x14ac:dyDescent="0.25">
      <c r="A123" s="38">
        <v>6</v>
      </c>
      <c r="B123" s="4">
        <v>16</v>
      </c>
      <c r="C123" s="5" t="s">
        <v>58</v>
      </c>
      <c r="D123" s="48" t="s">
        <v>75</v>
      </c>
      <c r="E123" s="41" t="s">
        <v>24</v>
      </c>
      <c r="F123" s="64">
        <f>июнь!J12</f>
        <v>0.8571428571428571</v>
      </c>
      <c r="G123" s="89"/>
    </row>
    <row r="124" spans="1:7" x14ac:dyDescent="0.25">
      <c r="A124" s="38">
        <v>6</v>
      </c>
      <c r="B124" s="4">
        <v>2</v>
      </c>
      <c r="C124" s="48" t="s">
        <v>15</v>
      </c>
      <c r="D124" s="48" t="s">
        <v>20</v>
      </c>
      <c r="E124" s="41" t="s">
        <v>70</v>
      </c>
      <c r="F124" s="64">
        <f>июнь!J13</f>
        <v>1</v>
      </c>
      <c r="G124" s="89">
        <v>76</v>
      </c>
    </row>
    <row r="125" spans="1:7" x14ac:dyDescent="0.25">
      <c r="A125" s="38">
        <v>6</v>
      </c>
      <c r="B125" s="4">
        <v>5</v>
      </c>
      <c r="C125" s="18" t="s">
        <v>15</v>
      </c>
      <c r="D125" s="18" t="s">
        <v>22</v>
      </c>
      <c r="E125" s="13" t="s">
        <v>70</v>
      </c>
      <c r="F125" s="64">
        <f>июнь!J14</f>
        <v>0.8571428571428571</v>
      </c>
      <c r="G125" s="89"/>
    </row>
    <row r="126" spans="1:7" x14ac:dyDescent="0.25">
      <c r="A126" s="38">
        <v>6</v>
      </c>
      <c r="B126" s="4">
        <v>5</v>
      </c>
      <c r="C126" s="48" t="s">
        <v>15</v>
      </c>
      <c r="D126" s="48" t="s">
        <v>23</v>
      </c>
      <c r="E126" s="41" t="s">
        <v>70</v>
      </c>
      <c r="F126" s="64">
        <f>июнь!J15</f>
        <v>1</v>
      </c>
      <c r="G126" s="89"/>
    </row>
    <row r="127" spans="1:7" x14ac:dyDescent="0.25">
      <c r="A127" s="38">
        <v>6</v>
      </c>
      <c r="B127" s="4">
        <v>19</v>
      </c>
      <c r="C127" s="48" t="s">
        <v>15</v>
      </c>
      <c r="D127" s="48" t="s">
        <v>19</v>
      </c>
      <c r="E127" s="41" t="s">
        <v>73</v>
      </c>
      <c r="F127" s="64">
        <f>июнь!J16</f>
        <v>0.83333333333333337</v>
      </c>
      <c r="G127" s="89"/>
    </row>
    <row r="128" spans="1:7" x14ac:dyDescent="0.25">
      <c r="A128" s="38">
        <v>6</v>
      </c>
      <c r="B128" s="4">
        <v>19</v>
      </c>
      <c r="C128" s="18" t="s">
        <v>15</v>
      </c>
      <c r="D128" s="18" t="s">
        <v>20</v>
      </c>
      <c r="E128" s="13" t="s">
        <v>73</v>
      </c>
      <c r="F128" s="64">
        <f>июнь!J17</f>
        <v>1</v>
      </c>
      <c r="G128" s="89"/>
    </row>
    <row r="129" spans="1:7" x14ac:dyDescent="0.25">
      <c r="A129" s="38">
        <v>6</v>
      </c>
      <c r="B129" s="4">
        <v>24</v>
      </c>
      <c r="C129" s="48" t="s">
        <v>15</v>
      </c>
      <c r="D129" s="48" t="s">
        <v>22</v>
      </c>
      <c r="E129" s="41" t="s">
        <v>73</v>
      </c>
      <c r="F129" s="64">
        <f>июнь!J18</f>
        <v>0.33333333333333331</v>
      </c>
      <c r="G129" s="89"/>
    </row>
    <row r="130" spans="1:7" x14ac:dyDescent="0.25">
      <c r="A130" s="38">
        <v>6</v>
      </c>
      <c r="B130" s="4">
        <v>24</v>
      </c>
      <c r="C130" s="18" t="s">
        <v>15</v>
      </c>
      <c r="D130" s="18" t="s">
        <v>23</v>
      </c>
      <c r="E130" s="13" t="s">
        <v>73</v>
      </c>
      <c r="F130" s="64">
        <f>июнь!J19</f>
        <v>0.8571428571428571</v>
      </c>
      <c r="G130" s="89"/>
    </row>
    <row r="131" spans="1:7" x14ac:dyDescent="0.25">
      <c r="A131" s="38">
        <v>6</v>
      </c>
      <c r="B131" s="4">
        <v>2</v>
      </c>
      <c r="C131" s="7" t="s">
        <v>15</v>
      </c>
      <c r="D131" s="7" t="s">
        <v>19</v>
      </c>
      <c r="E131" s="13" t="s">
        <v>70</v>
      </c>
      <c r="F131" s="64">
        <f>июнь!J20</f>
        <v>0.5</v>
      </c>
      <c r="G131" s="89"/>
    </row>
    <row r="132" spans="1:7" x14ac:dyDescent="0.25">
      <c r="A132" s="38">
        <v>6</v>
      </c>
      <c r="B132" s="4">
        <v>6</v>
      </c>
      <c r="C132" s="7" t="s">
        <v>25</v>
      </c>
      <c r="D132" s="7" t="s">
        <v>22</v>
      </c>
      <c r="E132" s="13" t="s">
        <v>69</v>
      </c>
      <c r="F132" s="64">
        <f>июнь!J20</f>
        <v>0.5</v>
      </c>
      <c r="G132" s="89">
        <v>85</v>
      </c>
    </row>
    <row r="133" spans="1:7" x14ac:dyDescent="0.25">
      <c r="A133" s="38">
        <v>6</v>
      </c>
      <c r="B133" s="4">
        <v>6</v>
      </c>
      <c r="C133" s="48" t="s">
        <v>25</v>
      </c>
      <c r="D133" s="48" t="s">
        <v>23</v>
      </c>
      <c r="E133" s="41" t="s">
        <v>69</v>
      </c>
      <c r="F133" s="64">
        <f>июнь!J21</f>
        <v>0.875</v>
      </c>
      <c r="G133" s="89"/>
    </row>
    <row r="134" spans="1:7" x14ac:dyDescent="0.25">
      <c r="A134" s="38">
        <v>6</v>
      </c>
      <c r="B134" s="4">
        <v>9</v>
      </c>
      <c r="C134" s="18" t="s">
        <v>25</v>
      </c>
      <c r="D134" s="18" t="s">
        <v>27</v>
      </c>
      <c r="E134" s="13" t="s">
        <v>64</v>
      </c>
      <c r="F134" s="64">
        <f>июнь!J22</f>
        <v>0.75</v>
      </c>
      <c r="G134" s="89"/>
    </row>
    <row r="135" spans="1:7" x14ac:dyDescent="0.25">
      <c r="A135" s="38">
        <v>6</v>
      </c>
      <c r="B135" s="4">
        <v>9</v>
      </c>
      <c r="C135" s="48" t="s">
        <v>25</v>
      </c>
      <c r="D135" s="48" t="s">
        <v>28</v>
      </c>
      <c r="E135" s="41" t="s">
        <v>64</v>
      </c>
      <c r="F135" s="64">
        <f>июнь!J23</f>
        <v>0.75</v>
      </c>
      <c r="G135" s="89"/>
    </row>
    <row r="136" spans="1:7" x14ac:dyDescent="0.25">
      <c r="A136" s="38">
        <v>6</v>
      </c>
      <c r="B136" s="4">
        <v>2</v>
      </c>
      <c r="C136" s="48" t="s">
        <v>25</v>
      </c>
      <c r="D136" s="48" t="s">
        <v>16</v>
      </c>
      <c r="E136" s="40" t="s">
        <v>72</v>
      </c>
      <c r="F136" s="64">
        <f>июнь!J24</f>
        <v>0.7</v>
      </c>
      <c r="G136" s="89"/>
    </row>
    <row r="137" spans="1:7" x14ac:dyDescent="0.25">
      <c r="A137" s="38">
        <v>6</v>
      </c>
      <c r="B137" s="4">
        <v>3</v>
      </c>
      <c r="C137" s="18" t="s">
        <v>25</v>
      </c>
      <c r="D137" s="18" t="s">
        <v>19</v>
      </c>
      <c r="E137" s="39" t="s">
        <v>72</v>
      </c>
      <c r="F137" s="64">
        <f>июнь!J25</f>
        <v>0.76923076923076927</v>
      </c>
      <c r="G137" s="89"/>
    </row>
    <row r="138" spans="1:7" x14ac:dyDescent="0.25">
      <c r="A138" s="38">
        <v>6</v>
      </c>
      <c r="B138" s="4">
        <v>3</v>
      </c>
      <c r="C138" s="48" t="s">
        <v>25</v>
      </c>
      <c r="D138" s="48" t="s">
        <v>20</v>
      </c>
      <c r="E138" s="40" t="s">
        <v>72</v>
      </c>
      <c r="F138" s="64">
        <f>июнь!J26</f>
        <v>0.8</v>
      </c>
      <c r="G138" s="89"/>
    </row>
    <row r="139" spans="1:7" x14ac:dyDescent="0.25">
      <c r="A139" s="38">
        <v>6</v>
      </c>
      <c r="B139" s="4">
        <v>4</v>
      </c>
      <c r="C139" s="18" t="s">
        <v>25</v>
      </c>
      <c r="D139" s="18" t="s">
        <v>22</v>
      </c>
      <c r="E139" s="39" t="s">
        <v>72</v>
      </c>
      <c r="F139" s="64">
        <f>июнь!J27</f>
        <v>1</v>
      </c>
      <c r="G139" s="89"/>
    </row>
    <row r="140" spans="1:7" x14ac:dyDescent="0.25">
      <c r="A140" s="38">
        <v>6</v>
      </c>
      <c r="B140" s="4">
        <v>4</v>
      </c>
      <c r="C140" s="48" t="s">
        <v>25</v>
      </c>
      <c r="D140" s="48" t="s">
        <v>23</v>
      </c>
      <c r="E140" s="40" t="s">
        <v>72</v>
      </c>
      <c r="F140" s="64">
        <f>июнь!J28</f>
        <v>1</v>
      </c>
      <c r="G140" s="89"/>
    </row>
    <row r="141" spans="1:7" x14ac:dyDescent="0.25">
      <c r="A141" s="38">
        <v>6</v>
      </c>
      <c r="B141" s="4">
        <v>17</v>
      </c>
      <c r="C141" s="7" t="s">
        <v>25</v>
      </c>
      <c r="D141" s="7" t="s">
        <v>16</v>
      </c>
      <c r="E141" s="13" t="s">
        <v>73</v>
      </c>
      <c r="F141" s="64">
        <f>июнь!J29</f>
        <v>0.75</v>
      </c>
      <c r="G141" s="89"/>
    </row>
    <row r="142" spans="1:7" x14ac:dyDescent="0.25">
      <c r="A142" s="38">
        <v>6</v>
      </c>
      <c r="B142" s="4">
        <v>3</v>
      </c>
      <c r="C142" s="18" t="s">
        <v>45</v>
      </c>
      <c r="D142" s="18" t="s">
        <v>16</v>
      </c>
      <c r="E142" s="39" t="s">
        <v>71</v>
      </c>
      <c r="F142" s="64">
        <f>июнь!J31</f>
        <v>0.75</v>
      </c>
      <c r="G142" s="89">
        <v>96</v>
      </c>
    </row>
    <row r="143" spans="1:7" x14ac:dyDescent="0.25">
      <c r="A143" s="38">
        <v>6</v>
      </c>
      <c r="B143" s="4">
        <v>4</v>
      </c>
      <c r="C143" s="48" t="s">
        <v>45</v>
      </c>
      <c r="D143" s="48" t="s">
        <v>19</v>
      </c>
      <c r="E143" s="40" t="s">
        <v>71</v>
      </c>
      <c r="F143" s="64">
        <f>июнь!J32</f>
        <v>1</v>
      </c>
      <c r="G143" s="89"/>
    </row>
    <row r="144" spans="1:7" x14ac:dyDescent="0.25">
      <c r="A144" s="38">
        <v>6</v>
      </c>
      <c r="B144" s="4">
        <v>4</v>
      </c>
      <c r="C144" s="18" t="s">
        <v>45</v>
      </c>
      <c r="D144" s="18" t="s">
        <v>20</v>
      </c>
      <c r="E144" s="39" t="s">
        <v>71</v>
      </c>
      <c r="F144" s="64">
        <f>июнь!J33</f>
        <v>0.75</v>
      </c>
      <c r="G144" s="89"/>
    </row>
    <row r="145" spans="1:7" x14ac:dyDescent="0.25">
      <c r="A145" s="38">
        <v>6</v>
      </c>
      <c r="B145" s="4">
        <v>9</v>
      </c>
      <c r="C145" s="48" t="s">
        <v>45</v>
      </c>
      <c r="D145" s="48" t="s">
        <v>22</v>
      </c>
      <c r="E145" s="40" t="s">
        <v>71</v>
      </c>
      <c r="F145" s="64">
        <f>июнь!J34</f>
        <v>0.83333333333333337</v>
      </c>
      <c r="G145" s="89"/>
    </row>
    <row r="146" spans="1:7" x14ac:dyDescent="0.25">
      <c r="A146" s="38">
        <v>6</v>
      </c>
      <c r="B146" s="4">
        <v>9</v>
      </c>
      <c r="C146" s="18" t="s">
        <v>45</v>
      </c>
      <c r="D146" s="18" t="s">
        <v>23</v>
      </c>
      <c r="E146" s="39" t="s">
        <v>71</v>
      </c>
      <c r="F146" s="64">
        <f>июнь!J35</f>
        <v>1</v>
      </c>
      <c r="G146" s="89"/>
    </row>
    <row r="147" spans="1:7" x14ac:dyDescent="0.25">
      <c r="A147" s="38">
        <v>6</v>
      </c>
      <c r="B147" s="4">
        <v>26</v>
      </c>
      <c r="C147" s="48" t="s">
        <v>45</v>
      </c>
      <c r="D147" s="48" t="s">
        <v>27</v>
      </c>
      <c r="E147" s="41" t="s">
        <v>47</v>
      </c>
      <c r="F147" s="64">
        <f>июнь!J36</f>
        <v>1</v>
      </c>
      <c r="G147" s="89"/>
    </row>
    <row r="148" spans="1:7" ht="15.75" customHeight="1" x14ac:dyDescent="0.25">
      <c r="A148" s="38">
        <v>7</v>
      </c>
      <c r="B148" s="4">
        <v>18</v>
      </c>
      <c r="C148" s="48" t="s">
        <v>18</v>
      </c>
      <c r="D148" s="48" t="s">
        <v>20</v>
      </c>
      <c r="E148" s="41" t="s">
        <v>83</v>
      </c>
      <c r="F148" s="10">
        <v>0.83</v>
      </c>
      <c r="G148" s="89">
        <v>84</v>
      </c>
    </row>
    <row r="149" spans="1:7" x14ac:dyDescent="0.25">
      <c r="A149" s="38">
        <v>7</v>
      </c>
      <c r="B149" s="4">
        <v>29</v>
      </c>
      <c r="C149" s="48" t="s">
        <v>18</v>
      </c>
      <c r="D149" s="48" t="s">
        <v>20</v>
      </c>
      <c r="E149" s="41" t="s">
        <v>85</v>
      </c>
      <c r="F149" s="10">
        <v>0.83</v>
      </c>
      <c r="G149" s="89"/>
    </row>
    <row r="150" spans="1:7" x14ac:dyDescent="0.25">
      <c r="A150" s="38">
        <v>7</v>
      </c>
      <c r="B150" s="4">
        <v>30</v>
      </c>
      <c r="C150" s="18" t="s">
        <v>18</v>
      </c>
      <c r="D150" s="18" t="s">
        <v>84</v>
      </c>
      <c r="E150" s="39" t="s">
        <v>74</v>
      </c>
      <c r="F150" s="10">
        <v>1</v>
      </c>
      <c r="G150" s="89"/>
    </row>
    <row r="151" spans="1:7" x14ac:dyDescent="0.25">
      <c r="A151" s="38">
        <v>7</v>
      </c>
      <c r="B151" s="4">
        <v>16</v>
      </c>
      <c r="C151" s="18" t="s">
        <v>18</v>
      </c>
      <c r="D151" s="18" t="s">
        <v>22</v>
      </c>
      <c r="E151" s="13" t="s">
        <v>83</v>
      </c>
      <c r="F151" s="10">
        <v>0.75</v>
      </c>
      <c r="G151" s="89"/>
    </row>
    <row r="152" spans="1:7" x14ac:dyDescent="0.25">
      <c r="A152" s="38">
        <v>7</v>
      </c>
      <c r="B152" s="4">
        <v>1</v>
      </c>
      <c r="C152" s="18" t="s">
        <v>18</v>
      </c>
      <c r="D152" s="18" t="s">
        <v>16</v>
      </c>
      <c r="E152" s="13" t="s">
        <v>78</v>
      </c>
      <c r="F152" s="10">
        <v>0.92</v>
      </c>
      <c r="G152" s="89"/>
    </row>
    <row r="153" spans="1:7" x14ac:dyDescent="0.25">
      <c r="A153" s="38">
        <v>7</v>
      </c>
      <c r="B153" s="4">
        <v>8</v>
      </c>
      <c r="C153" s="48" t="s">
        <v>18</v>
      </c>
      <c r="D153" s="48" t="s">
        <v>16</v>
      </c>
      <c r="E153" s="41" t="s">
        <v>81</v>
      </c>
      <c r="F153" s="10">
        <v>0.77</v>
      </c>
      <c r="G153" s="89"/>
    </row>
    <row r="154" spans="1:7" x14ac:dyDescent="0.25">
      <c r="A154" s="38">
        <v>7</v>
      </c>
      <c r="B154" s="4">
        <v>16</v>
      </c>
      <c r="C154" s="48" t="s">
        <v>18</v>
      </c>
      <c r="D154" s="48" t="s">
        <v>23</v>
      </c>
      <c r="E154" s="41" t="s">
        <v>83</v>
      </c>
      <c r="F154" s="10">
        <v>0.75</v>
      </c>
      <c r="G154" s="89"/>
    </row>
    <row r="155" spans="1:7" x14ac:dyDescent="0.25">
      <c r="A155" s="38">
        <v>7</v>
      </c>
      <c r="B155" s="4">
        <v>18</v>
      </c>
      <c r="C155" s="18" t="s">
        <v>18</v>
      </c>
      <c r="D155" s="18" t="s">
        <v>19</v>
      </c>
      <c r="E155" s="13" t="s">
        <v>83</v>
      </c>
      <c r="F155" s="10">
        <v>0.83</v>
      </c>
      <c r="G155" s="89"/>
    </row>
    <row r="156" spans="1:7" x14ac:dyDescent="0.25">
      <c r="A156" s="38">
        <v>7</v>
      </c>
      <c r="B156" s="4">
        <v>29</v>
      </c>
      <c r="C156" s="18" t="s">
        <v>18</v>
      </c>
      <c r="D156" s="18" t="s">
        <v>19</v>
      </c>
      <c r="E156" s="13" t="s">
        <v>85</v>
      </c>
      <c r="F156" s="10">
        <v>0.85</v>
      </c>
      <c r="G156" s="89"/>
    </row>
    <row r="157" spans="1:7" x14ac:dyDescent="0.25">
      <c r="A157" s="38">
        <v>7</v>
      </c>
      <c r="B157" s="4">
        <v>17</v>
      </c>
      <c r="C157" s="18" t="s">
        <v>18</v>
      </c>
      <c r="D157" s="18" t="s">
        <v>27</v>
      </c>
      <c r="E157" s="13" t="s">
        <v>74</v>
      </c>
      <c r="F157" s="10">
        <v>0.86</v>
      </c>
      <c r="G157" s="89"/>
    </row>
    <row r="158" spans="1:7" x14ac:dyDescent="0.25">
      <c r="A158" s="38">
        <v>7</v>
      </c>
      <c r="B158" s="4">
        <v>3</v>
      </c>
      <c r="C158" s="18" t="s">
        <v>58</v>
      </c>
      <c r="D158" s="18" t="s">
        <v>20</v>
      </c>
      <c r="E158" s="13" t="s">
        <v>77</v>
      </c>
      <c r="F158" s="10">
        <v>0.8</v>
      </c>
      <c r="G158" s="89">
        <v>82</v>
      </c>
    </row>
    <row r="159" spans="1:7" x14ac:dyDescent="0.25">
      <c r="A159" s="38">
        <v>7</v>
      </c>
      <c r="B159" s="4">
        <v>4</v>
      </c>
      <c r="C159" s="18" t="s">
        <v>58</v>
      </c>
      <c r="D159" s="18" t="s">
        <v>22</v>
      </c>
      <c r="E159" s="13" t="s">
        <v>78</v>
      </c>
      <c r="F159" s="10">
        <v>0.8</v>
      </c>
      <c r="G159" s="89"/>
    </row>
    <row r="160" spans="1:7" x14ac:dyDescent="0.25">
      <c r="A160" s="38">
        <v>7</v>
      </c>
      <c r="B160" s="4">
        <v>10</v>
      </c>
      <c r="C160" s="48" t="s">
        <v>58</v>
      </c>
      <c r="D160" s="48" t="s">
        <v>22</v>
      </c>
      <c r="E160" s="41" t="s">
        <v>77</v>
      </c>
      <c r="F160" s="45">
        <v>1</v>
      </c>
      <c r="G160" s="89"/>
    </row>
    <row r="161" spans="1:7" x14ac:dyDescent="0.25">
      <c r="A161" s="38">
        <v>7</v>
      </c>
      <c r="B161" s="4">
        <v>11</v>
      </c>
      <c r="C161" s="18" t="s">
        <v>58</v>
      </c>
      <c r="D161" s="18" t="s">
        <v>22</v>
      </c>
      <c r="E161" s="13" t="s">
        <v>81</v>
      </c>
      <c r="F161" s="10">
        <v>0.92</v>
      </c>
      <c r="G161" s="89"/>
    </row>
    <row r="162" spans="1:7" x14ac:dyDescent="0.25">
      <c r="A162" s="38">
        <v>7</v>
      </c>
      <c r="B162" s="4">
        <v>4</v>
      </c>
      <c r="C162" s="48" t="s">
        <v>58</v>
      </c>
      <c r="D162" s="48" t="s">
        <v>23</v>
      </c>
      <c r="E162" s="41" t="s">
        <v>78</v>
      </c>
      <c r="F162" s="43">
        <v>0.6</v>
      </c>
      <c r="G162" s="89"/>
    </row>
    <row r="163" spans="1:7" x14ac:dyDescent="0.25">
      <c r="A163" s="38">
        <v>7</v>
      </c>
      <c r="B163" s="4">
        <v>10</v>
      </c>
      <c r="C163" s="7" t="s">
        <v>58</v>
      </c>
      <c r="D163" s="7" t="s">
        <v>23</v>
      </c>
      <c r="E163" s="8" t="s">
        <v>77</v>
      </c>
      <c r="F163" s="44">
        <v>0.9</v>
      </c>
      <c r="G163" s="89"/>
    </row>
    <row r="164" spans="1:7" x14ac:dyDescent="0.25">
      <c r="A164" s="38">
        <v>7</v>
      </c>
      <c r="B164" s="4">
        <v>11</v>
      </c>
      <c r="C164" s="48" t="s">
        <v>58</v>
      </c>
      <c r="D164" s="48" t="s">
        <v>23</v>
      </c>
      <c r="E164" s="41" t="s">
        <v>81</v>
      </c>
      <c r="F164" s="10">
        <v>0.85</v>
      </c>
      <c r="G164" s="89"/>
    </row>
    <row r="165" spans="1:7" x14ac:dyDescent="0.25">
      <c r="A165" s="38">
        <v>7</v>
      </c>
      <c r="B165" s="4">
        <v>3</v>
      </c>
      <c r="C165" s="48" t="s">
        <v>58</v>
      </c>
      <c r="D165" s="48" t="s">
        <v>19</v>
      </c>
      <c r="E165" s="41" t="s">
        <v>77</v>
      </c>
      <c r="F165" s="10">
        <v>0.7</v>
      </c>
      <c r="G165" s="89"/>
    </row>
    <row r="166" spans="1:7" x14ac:dyDescent="0.25">
      <c r="A166" s="38">
        <v>7</v>
      </c>
      <c r="B166" s="4">
        <v>22</v>
      </c>
      <c r="C166" s="18" t="s">
        <v>15</v>
      </c>
      <c r="D166" s="18" t="s">
        <v>28</v>
      </c>
      <c r="E166" s="13" t="s">
        <v>77</v>
      </c>
      <c r="F166" s="10">
        <v>0.83</v>
      </c>
      <c r="G166" s="89">
        <v>89</v>
      </c>
    </row>
    <row r="167" spans="1:7" x14ac:dyDescent="0.25">
      <c r="A167" s="38">
        <v>7</v>
      </c>
      <c r="B167" s="4">
        <v>10</v>
      </c>
      <c r="C167" s="18" t="s">
        <v>15</v>
      </c>
      <c r="D167" s="18" t="s">
        <v>75</v>
      </c>
      <c r="E167" s="13" t="s">
        <v>65</v>
      </c>
      <c r="F167" s="45">
        <v>1</v>
      </c>
      <c r="G167" s="89"/>
    </row>
    <row r="168" spans="1:7" x14ac:dyDescent="0.25">
      <c r="A168" s="38">
        <v>7</v>
      </c>
      <c r="B168" s="4">
        <v>1</v>
      </c>
      <c r="C168" s="48" t="s">
        <v>15</v>
      </c>
      <c r="D168" s="48" t="s">
        <v>16</v>
      </c>
      <c r="E168" s="41" t="s">
        <v>77</v>
      </c>
      <c r="F168" s="10">
        <v>1</v>
      </c>
      <c r="G168" s="89"/>
    </row>
    <row r="169" spans="1:7" x14ac:dyDescent="0.25">
      <c r="A169" s="38">
        <v>7</v>
      </c>
      <c r="B169" s="4">
        <v>11</v>
      </c>
      <c r="C169" s="48" t="s">
        <v>15</v>
      </c>
      <c r="D169" s="48" t="s">
        <v>16</v>
      </c>
      <c r="E169" s="41" t="s">
        <v>83</v>
      </c>
      <c r="F169" s="10">
        <v>0.75</v>
      </c>
      <c r="G169" s="89"/>
    </row>
    <row r="170" spans="1:7" x14ac:dyDescent="0.25">
      <c r="A170" s="38">
        <v>7</v>
      </c>
      <c r="B170" s="4">
        <v>23</v>
      </c>
      <c r="C170" s="18" t="s">
        <v>15</v>
      </c>
      <c r="D170" s="18" t="s">
        <v>16</v>
      </c>
      <c r="E170" s="13" t="s">
        <v>85</v>
      </c>
      <c r="F170" s="10">
        <v>0.73</v>
      </c>
      <c r="G170" s="89"/>
    </row>
    <row r="171" spans="1:7" x14ac:dyDescent="0.25">
      <c r="A171" s="38">
        <v>7</v>
      </c>
      <c r="B171" s="4">
        <v>22</v>
      </c>
      <c r="C171" s="48" t="s">
        <v>15</v>
      </c>
      <c r="D171" s="48" t="s">
        <v>35</v>
      </c>
      <c r="E171" s="41" t="s">
        <v>77</v>
      </c>
      <c r="F171" s="10">
        <v>0.83</v>
      </c>
      <c r="G171" s="89"/>
    </row>
    <row r="172" spans="1:7" x14ac:dyDescent="0.25">
      <c r="A172" s="38">
        <v>7</v>
      </c>
      <c r="B172" s="4">
        <v>9</v>
      </c>
      <c r="C172" s="48" t="s">
        <v>15</v>
      </c>
      <c r="D172" s="48" t="s">
        <v>27</v>
      </c>
      <c r="E172" s="41" t="s">
        <v>65</v>
      </c>
      <c r="F172" s="45">
        <v>1</v>
      </c>
      <c r="G172" s="89"/>
    </row>
    <row r="173" spans="1:7" x14ac:dyDescent="0.25">
      <c r="A173" s="38">
        <v>7</v>
      </c>
      <c r="B173" s="4">
        <v>16</v>
      </c>
      <c r="C173" s="48" t="s">
        <v>15</v>
      </c>
      <c r="D173" s="48" t="s">
        <v>27</v>
      </c>
      <c r="E173" s="41" t="s">
        <v>70</v>
      </c>
      <c r="F173" s="10">
        <v>1</v>
      </c>
      <c r="G173" s="89"/>
    </row>
    <row r="174" spans="1:7" x14ac:dyDescent="0.25">
      <c r="A174" s="38">
        <v>7</v>
      </c>
      <c r="B174" s="4">
        <v>2</v>
      </c>
      <c r="C174" s="18" t="s">
        <v>25</v>
      </c>
      <c r="D174" s="18" t="s">
        <v>20</v>
      </c>
      <c r="E174" s="13" t="s">
        <v>78</v>
      </c>
      <c r="F174" s="52" t="str">
        <f>IFERROR(E174/C174-D174/C174,"")</f>
        <v/>
      </c>
      <c r="G174" s="89">
        <v>89</v>
      </c>
    </row>
    <row r="175" spans="1:7" x14ac:dyDescent="0.25">
      <c r="A175" s="38">
        <v>7</v>
      </c>
      <c r="B175" s="4">
        <v>3</v>
      </c>
      <c r="C175" s="18" t="s">
        <v>25</v>
      </c>
      <c r="D175" s="18" t="s">
        <v>20</v>
      </c>
      <c r="E175" s="13" t="s">
        <v>76</v>
      </c>
      <c r="F175" s="10">
        <v>0.86</v>
      </c>
      <c r="G175" s="89"/>
    </row>
    <row r="176" spans="1:7" x14ac:dyDescent="0.25">
      <c r="A176" s="38">
        <v>7</v>
      </c>
      <c r="B176" s="4">
        <v>10</v>
      </c>
      <c r="C176" s="18" t="s">
        <v>25</v>
      </c>
      <c r="D176" s="18" t="s">
        <v>20</v>
      </c>
      <c r="E176" s="13" t="s">
        <v>82</v>
      </c>
      <c r="F176" s="10">
        <v>1</v>
      </c>
      <c r="G176" s="89"/>
    </row>
    <row r="177" spans="1:7" x14ac:dyDescent="0.25">
      <c r="A177" s="38">
        <v>7</v>
      </c>
      <c r="B177" s="4">
        <v>17</v>
      </c>
      <c r="C177" s="18" t="s">
        <v>25</v>
      </c>
      <c r="D177" s="18" t="s">
        <v>84</v>
      </c>
      <c r="E177" s="13" t="s">
        <v>67</v>
      </c>
      <c r="F177" s="42">
        <v>0.8</v>
      </c>
      <c r="G177" s="89"/>
    </row>
    <row r="178" spans="1:7" x14ac:dyDescent="0.25">
      <c r="A178" s="38">
        <v>7</v>
      </c>
      <c r="B178" s="4">
        <v>17</v>
      </c>
      <c r="C178" s="5" t="s">
        <v>25</v>
      </c>
      <c r="D178" s="5" t="s">
        <v>28</v>
      </c>
      <c r="E178" s="41" t="s">
        <v>67</v>
      </c>
      <c r="F178" s="51">
        <v>1</v>
      </c>
      <c r="G178" s="89"/>
    </row>
    <row r="179" spans="1:7" x14ac:dyDescent="0.25">
      <c r="A179" s="38">
        <v>7</v>
      </c>
      <c r="B179" s="4">
        <v>8</v>
      </c>
      <c r="C179" s="48" t="s">
        <v>25</v>
      </c>
      <c r="D179" s="48" t="s">
        <v>22</v>
      </c>
      <c r="E179" s="41" t="s">
        <v>82</v>
      </c>
      <c r="F179" s="10">
        <v>0.8</v>
      </c>
      <c r="G179" s="89"/>
    </row>
    <row r="180" spans="1:7" x14ac:dyDescent="0.25">
      <c r="A180" s="38">
        <v>7</v>
      </c>
      <c r="B180" s="4">
        <v>18</v>
      </c>
      <c r="C180" s="48" t="s">
        <v>25</v>
      </c>
      <c r="D180" s="48" t="s">
        <v>35</v>
      </c>
      <c r="E180" s="40" t="s">
        <v>69</v>
      </c>
      <c r="F180" s="10">
        <v>1</v>
      </c>
      <c r="G180" s="89"/>
    </row>
    <row r="181" spans="1:7" x14ac:dyDescent="0.25">
      <c r="A181" s="38">
        <v>7</v>
      </c>
      <c r="B181" s="4">
        <v>23</v>
      </c>
      <c r="C181" s="48" t="s">
        <v>25</v>
      </c>
      <c r="D181" s="48" t="s">
        <v>35</v>
      </c>
      <c r="E181" s="41" t="s">
        <v>60</v>
      </c>
      <c r="F181" s="10">
        <v>1</v>
      </c>
      <c r="G181" s="89"/>
    </row>
    <row r="182" spans="1:7" x14ac:dyDescent="0.25">
      <c r="A182" s="38">
        <v>7</v>
      </c>
      <c r="B182" s="4">
        <v>8</v>
      </c>
      <c r="C182" s="18" t="s">
        <v>25</v>
      </c>
      <c r="D182" s="18" t="s">
        <v>23</v>
      </c>
      <c r="E182" s="13" t="s">
        <v>82</v>
      </c>
      <c r="F182" s="10">
        <v>1</v>
      </c>
      <c r="G182" s="89"/>
    </row>
    <row r="183" spans="1:7" x14ac:dyDescent="0.25">
      <c r="A183" s="38">
        <v>7</v>
      </c>
      <c r="B183" s="4">
        <v>2</v>
      </c>
      <c r="C183" s="48" t="s">
        <v>25</v>
      </c>
      <c r="D183" s="48" t="s">
        <v>19</v>
      </c>
      <c r="E183" s="41" t="s">
        <v>78</v>
      </c>
      <c r="F183" s="52" t="str">
        <f>IFERROR(E183/C183-D183/C183,"")</f>
        <v/>
      </c>
      <c r="G183" s="89"/>
    </row>
    <row r="184" spans="1:7" x14ac:dyDescent="0.25">
      <c r="A184" s="38">
        <v>7</v>
      </c>
      <c r="B184" s="4">
        <v>3</v>
      </c>
      <c r="C184" s="48" t="s">
        <v>25</v>
      </c>
      <c r="D184" s="48" t="s">
        <v>19</v>
      </c>
      <c r="E184" s="41" t="s">
        <v>76</v>
      </c>
      <c r="F184" s="10">
        <v>0.86</v>
      </c>
      <c r="G184" s="89"/>
    </row>
    <row r="185" spans="1:7" x14ac:dyDescent="0.25">
      <c r="A185" s="38">
        <v>7</v>
      </c>
      <c r="B185" s="4">
        <v>10</v>
      </c>
      <c r="C185" s="48" t="s">
        <v>25</v>
      </c>
      <c r="D185" s="48" t="s">
        <v>19</v>
      </c>
      <c r="E185" s="41" t="s">
        <v>82</v>
      </c>
      <c r="F185" s="10">
        <v>0.8</v>
      </c>
      <c r="G185" s="89"/>
    </row>
    <row r="186" spans="1:7" x14ac:dyDescent="0.25">
      <c r="A186" s="38">
        <v>7</v>
      </c>
      <c r="B186" s="4">
        <v>18</v>
      </c>
      <c r="C186" s="18" t="s">
        <v>25</v>
      </c>
      <c r="D186" s="18" t="s">
        <v>27</v>
      </c>
      <c r="E186" s="39" t="s">
        <v>69</v>
      </c>
      <c r="F186" s="10">
        <v>0.83</v>
      </c>
      <c r="G186" s="89"/>
    </row>
    <row r="187" spans="1:7" x14ac:dyDescent="0.25">
      <c r="A187" s="38">
        <v>7</v>
      </c>
      <c r="B187" s="4">
        <v>23</v>
      </c>
      <c r="C187" s="18" t="s">
        <v>25</v>
      </c>
      <c r="D187" s="18" t="s">
        <v>27</v>
      </c>
      <c r="E187" s="13" t="s">
        <v>60</v>
      </c>
      <c r="F187" s="10">
        <v>0.75</v>
      </c>
      <c r="G187" s="89"/>
    </row>
    <row r="188" spans="1:7" x14ac:dyDescent="0.25">
      <c r="A188" s="38">
        <v>7</v>
      </c>
      <c r="B188" s="4">
        <v>24</v>
      </c>
      <c r="C188" s="48" t="s">
        <v>45</v>
      </c>
      <c r="D188" s="48" t="s">
        <v>84</v>
      </c>
      <c r="E188" s="40" t="s">
        <v>66</v>
      </c>
      <c r="F188" s="10">
        <v>0.71</v>
      </c>
      <c r="G188" s="89">
        <v>77</v>
      </c>
    </row>
    <row r="189" spans="1:7" x14ac:dyDescent="0.25">
      <c r="A189" s="38">
        <v>7</v>
      </c>
      <c r="B189" s="4">
        <v>30</v>
      </c>
      <c r="C189" s="48" t="s">
        <v>45</v>
      </c>
      <c r="D189" s="48" t="s">
        <v>22</v>
      </c>
      <c r="E189" s="41" t="s">
        <v>85</v>
      </c>
      <c r="F189" s="10">
        <v>1</v>
      </c>
      <c r="G189" s="89"/>
    </row>
    <row r="190" spans="1:7" x14ac:dyDescent="0.25">
      <c r="A190" s="38">
        <v>7</v>
      </c>
      <c r="B190" s="4">
        <v>2</v>
      </c>
      <c r="C190" s="7" t="s">
        <v>45</v>
      </c>
      <c r="D190" s="7" t="s">
        <v>75</v>
      </c>
      <c r="E190" s="13" t="s">
        <v>80</v>
      </c>
      <c r="F190" s="9">
        <v>0.88</v>
      </c>
      <c r="G190" s="89"/>
    </row>
    <row r="191" spans="1:7" x14ac:dyDescent="0.25">
      <c r="A191" s="38">
        <v>7</v>
      </c>
      <c r="B191" s="4">
        <v>3</v>
      </c>
      <c r="C191" s="48" t="s">
        <v>45</v>
      </c>
      <c r="D191" s="48" t="s">
        <v>75</v>
      </c>
      <c r="E191" s="41" t="s">
        <v>47</v>
      </c>
      <c r="F191" s="45">
        <v>0.8</v>
      </c>
      <c r="G191" s="89"/>
    </row>
    <row r="192" spans="1:7" x14ac:dyDescent="0.25">
      <c r="A192" s="38">
        <v>7</v>
      </c>
      <c r="B192" s="4">
        <v>1</v>
      </c>
      <c r="C192" s="18" t="s">
        <v>45</v>
      </c>
      <c r="D192" s="18" t="s">
        <v>75</v>
      </c>
      <c r="E192" s="13" t="s">
        <v>30</v>
      </c>
      <c r="F192" s="10">
        <v>1</v>
      </c>
      <c r="G192" s="89"/>
    </row>
    <row r="193" spans="1:7" x14ac:dyDescent="0.25">
      <c r="A193" s="38">
        <v>7</v>
      </c>
      <c r="B193" s="4">
        <v>30</v>
      </c>
      <c r="C193" s="18" t="s">
        <v>45</v>
      </c>
      <c r="D193" s="18" t="s">
        <v>23</v>
      </c>
      <c r="E193" s="13" t="s">
        <v>85</v>
      </c>
      <c r="F193" s="10">
        <v>1</v>
      </c>
      <c r="G193" s="89"/>
    </row>
    <row r="194" spans="1:7" x14ac:dyDescent="0.25">
      <c r="A194" s="38">
        <v>7</v>
      </c>
      <c r="B194" s="4">
        <v>9</v>
      </c>
      <c r="C194" s="48" t="s">
        <v>45</v>
      </c>
      <c r="D194" s="48" t="s">
        <v>19</v>
      </c>
      <c r="E194" s="41" t="s">
        <v>81</v>
      </c>
      <c r="F194" s="10">
        <v>0.77</v>
      </c>
      <c r="G194" s="89"/>
    </row>
    <row r="195" spans="1:7" x14ac:dyDescent="0.25">
      <c r="A195" s="38">
        <v>7</v>
      </c>
      <c r="B195" s="4">
        <v>8</v>
      </c>
      <c r="C195" s="18" t="s">
        <v>45</v>
      </c>
      <c r="D195" s="18" t="s">
        <v>27</v>
      </c>
      <c r="E195" s="13" t="s">
        <v>66</v>
      </c>
      <c r="F195" s="43">
        <v>0.18</v>
      </c>
      <c r="G195" s="89"/>
    </row>
    <row r="196" spans="1:7" x14ac:dyDescent="0.25">
      <c r="A196" s="38">
        <v>7</v>
      </c>
      <c r="B196" s="4">
        <v>17</v>
      </c>
      <c r="C196" s="18" t="s">
        <v>45</v>
      </c>
      <c r="D196" s="18" t="s">
        <v>27</v>
      </c>
      <c r="E196" s="13" t="s">
        <v>77</v>
      </c>
      <c r="F196" s="43">
        <v>0.56999999999999995</v>
      </c>
      <c r="G196" s="89"/>
    </row>
    <row r="197" spans="1:7" x14ac:dyDescent="0.25">
      <c r="A197" s="38">
        <v>7</v>
      </c>
      <c r="B197" s="4">
        <v>18</v>
      </c>
      <c r="C197" s="48" t="s">
        <v>63</v>
      </c>
      <c r="D197" s="48" t="s">
        <v>75</v>
      </c>
      <c r="E197" s="41" t="s">
        <v>68</v>
      </c>
      <c r="F197" s="10">
        <v>0.86</v>
      </c>
      <c r="G197" s="88">
        <v>85</v>
      </c>
    </row>
    <row r="198" spans="1:7" x14ac:dyDescent="0.25">
      <c r="A198" s="38">
        <v>7</v>
      </c>
      <c r="B198" s="4">
        <v>2</v>
      </c>
      <c r="C198" s="48" t="s">
        <v>63</v>
      </c>
      <c r="D198" s="48" t="s">
        <v>27</v>
      </c>
      <c r="E198" s="40" t="s">
        <v>79</v>
      </c>
      <c r="F198" s="10">
        <v>0.83</v>
      </c>
      <c r="G198" s="88"/>
    </row>
    <row r="199" spans="1:7" x14ac:dyDescent="0.25">
      <c r="A199" s="65">
        <v>8</v>
      </c>
      <c r="B199" s="4">
        <v>1</v>
      </c>
      <c r="C199" s="48" t="s">
        <v>18</v>
      </c>
      <c r="D199" s="48" t="s">
        <v>16</v>
      </c>
      <c r="E199" s="41" t="s">
        <v>86</v>
      </c>
      <c r="F199" s="10">
        <v>0.82</v>
      </c>
      <c r="G199" s="85">
        <v>84</v>
      </c>
    </row>
    <row r="200" spans="1:7" x14ac:dyDescent="0.25">
      <c r="A200" s="65">
        <v>8</v>
      </c>
      <c r="B200" s="4">
        <v>5</v>
      </c>
      <c r="C200" s="48" t="s">
        <v>18</v>
      </c>
      <c r="D200" s="48" t="s">
        <v>20</v>
      </c>
      <c r="E200" s="41" t="s">
        <v>86</v>
      </c>
      <c r="F200" s="10">
        <v>0.82</v>
      </c>
      <c r="G200" s="86"/>
    </row>
    <row r="201" spans="1:7" x14ac:dyDescent="0.25">
      <c r="A201" s="65">
        <v>8</v>
      </c>
      <c r="B201" s="4">
        <v>26</v>
      </c>
      <c r="C201" s="18" t="s">
        <v>18</v>
      </c>
      <c r="D201" s="18" t="s">
        <v>20</v>
      </c>
      <c r="E201" s="39" t="s">
        <v>94</v>
      </c>
      <c r="F201" s="10">
        <v>1</v>
      </c>
      <c r="G201" s="86"/>
    </row>
    <row r="202" spans="1:7" x14ac:dyDescent="0.25">
      <c r="A202" s="65">
        <v>8</v>
      </c>
      <c r="B202" s="4">
        <v>13</v>
      </c>
      <c r="C202" s="18" t="s">
        <v>18</v>
      </c>
      <c r="D202" s="18" t="s">
        <v>22</v>
      </c>
      <c r="E202" s="13" t="s">
        <v>86</v>
      </c>
      <c r="F202" s="10">
        <v>0.9</v>
      </c>
      <c r="G202" s="86"/>
    </row>
    <row r="203" spans="1:7" x14ac:dyDescent="0.25">
      <c r="A203" s="65">
        <v>8</v>
      </c>
      <c r="B203" s="4">
        <v>19</v>
      </c>
      <c r="C203" s="18" t="s">
        <v>18</v>
      </c>
      <c r="D203" s="18" t="s">
        <v>16</v>
      </c>
      <c r="E203" s="39" t="s">
        <v>94</v>
      </c>
      <c r="F203" s="10">
        <v>0.77</v>
      </c>
      <c r="G203" s="86"/>
    </row>
    <row r="204" spans="1:7" x14ac:dyDescent="0.25">
      <c r="A204" s="65">
        <v>8</v>
      </c>
      <c r="B204" s="4">
        <v>27</v>
      </c>
      <c r="C204" s="48" t="s">
        <v>18</v>
      </c>
      <c r="D204" s="48" t="s">
        <v>16</v>
      </c>
      <c r="E204" s="41" t="s">
        <v>95</v>
      </c>
      <c r="F204" s="10">
        <v>0.8</v>
      </c>
      <c r="G204" s="86"/>
    </row>
    <row r="205" spans="1:7" x14ac:dyDescent="0.25">
      <c r="A205" s="65">
        <v>8</v>
      </c>
      <c r="B205" s="4">
        <v>13</v>
      </c>
      <c r="C205" s="48" t="s">
        <v>18</v>
      </c>
      <c r="D205" s="48" t="s">
        <v>23</v>
      </c>
      <c r="E205" s="41" t="s">
        <v>86</v>
      </c>
      <c r="F205" s="10">
        <v>0.8</v>
      </c>
      <c r="G205" s="86"/>
    </row>
    <row r="206" spans="1:7" x14ac:dyDescent="0.25">
      <c r="A206" s="65">
        <v>8</v>
      </c>
      <c r="B206" s="4">
        <v>5</v>
      </c>
      <c r="C206" s="18" t="s">
        <v>18</v>
      </c>
      <c r="D206" s="18" t="s">
        <v>19</v>
      </c>
      <c r="E206" s="13" t="s">
        <v>86</v>
      </c>
      <c r="F206" s="10">
        <v>0.82</v>
      </c>
      <c r="G206" s="86"/>
    </row>
    <row r="207" spans="1:7" x14ac:dyDescent="0.25">
      <c r="A207" s="65">
        <v>8</v>
      </c>
      <c r="B207" s="4">
        <v>26</v>
      </c>
      <c r="C207" s="48" t="s">
        <v>18</v>
      </c>
      <c r="D207" s="48" t="s">
        <v>19</v>
      </c>
      <c r="E207" s="40" t="s">
        <v>94</v>
      </c>
      <c r="F207" s="10">
        <v>0.8</v>
      </c>
      <c r="G207" s="86"/>
    </row>
    <row r="208" spans="1:7" x14ac:dyDescent="0.25">
      <c r="A208" s="65">
        <v>8</v>
      </c>
      <c r="B208" s="4">
        <v>14</v>
      </c>
      <c r="C208" s="48" t="s">
        <v>18</v>
      </c>
      <c r="D208" s="48" t="s">
        <v>27</v>
      </c>
      <c r="E208" s="41" t="s">
        <v>81</v>
      </c>
      <c r="F208" s="10">
        <v>0.86</v>
      </c>
      <c r="G208" s="87"/>
    </row>
    <row r="209" spans="1:10" x14ac:dyDescent="0.25">
      <c r="A209" s="65">
        <v>8</v>
      </c>
      <c r="B209" s="4">
        <v>4</v>
      </c>
      <c r="C209" s="18" t="s">
        <v>58</v>
      </c>
      <c r="D209" s="18" t="s">
        <v>20</v>
      </c>
      <c r="E209" s="13" t="s">
        <v>87</v>
      </c>
      <c r="F209" s="10">
        <v>0.71</v>
      </c>
      <c r="G209" s="85">
        <v>81</v>
      </c>
      <c r="J209" s="19"/>
    </row>
    <row r="210" spans="1:10" x14ac:dyDescent="0.25">
      <c r="A210" s="65">
        <v>8</v>
      </c>
      <c r="B210" s="4">
        <v>5</v>
      </c>
      <c r="C210" s="48" t="s">
        <v>58</v>
      </c>
      <c r="D210" s="48" t="s">
        <v>22</v>
      </c>
      <c r="E210" s="41" t="s">
        <v>87</v>
      </c>
      <c r="F210" s="10">
        <v>0.8</v>
      </c>
      <c r="G210" s="86"/>
    </row>
    <row r="211" spans="1:10" x14ac:dyDescent="0.25">
      <c r="A211" s="65">
        <v>8</v>
      </c>
      <c r="B211" s="4">
        <v>1</v>
      </c>
      <c r="C211" s="18" t="s">
        <v>58</v>
      </c>
      <c r="D211" s="18" t="s">
        <v>16</v>
      </c>
      <c r="E211" s="13" t="s">
        <v>87</v>
      </c>
      <c r="F211" s="10">
        <v>0.75</v>
      </c>
      <c r="G211" s="86"/>
    </row>
    <row r="212" spans="1:10" x14ac:dyDescent="0.25">
      <c r="A212" s="65">
        <v>8</v>
      </c>
      <c r="B212" s="4">
        <v>5</v>
      </c>
      <c r="C212" s="18" t="s">
        <v>58</v>
      </c>
      <c r="D212" s="18" t="s">
        <v>23</v>
      </c>
      <c r="E212" s="13" t="s">
        <v>87</v>
      </c>
      <c r="F212" s="10">
        <v>0.75</v>
      </c>
      <c r="G212" s="86"/>
    </row>
    <row r="213" spans="1:10" x14ac:dyDescent="0.25">
      <c r="A213" s="65">
        <v>8</v>
      </c>
      <c r="B213" s="4">
        <v>4</v>
      </c>
      <c r="C213" s="48" t="s">
        <v>58</v>
      </c>
      <c r="D213" s="48" t="s">
        <v>19</v>
      </c>
      <c r="E213" s="41" t="s">
        <v>87</v>
      </c>
      <c r="F213" s="10">
        <v>0.86</v>
      </c>
      <c r="G213" s="86"/>
    </row>
    <row r="214" spans="1:10" x14ac:dyDescent="0.25">
      <c r="A214" s="65">
        <v>8</v>
      </c>
      <c r="B214" s="4">
        <v>7</v>
      </c>
      <c r="C214" s="18" t="s">
        <v>58</v>
      </c>
      <c r="D214" s="18" t="s">
        <v>27</v>
      </c>
      <c r="E214" s="13" t="s">
        <v>67</v>
      </c>
      <c r="F214" s="10">
        <v>1</v>
      </c>
      <c r="G214" s="87"/>
    </row>
    <row r="215" spans="1:10" x14ac:dyDescent="0.25">
      <c r="A215" s="65">
        <v>8</v>
      </c>
      <c r="B215" s="4">
        <v>7</v>
      </c>
      <c r="C215" s="18" t="s">
        <v>90</v>
      </c>
      <c r="D215" s="18" t="s">
        <v>20</v>
      </c>
      <c r="E215" s="13" t="s">
        <v>89</v>
      </c>
      <c r="F215" s="10">
        <v>1</v>
      </c>
      <c r="G215" s="85">
        <v>96</v>
      </c>
    </row>
    <row r="216" spans="1:10" x14ac:dyDescent="0.25">
      <c r="A216" s="65">
        <v>8</v>
      </c>
      <c r="B216" s="4">
        <v>7</v>
      </c>
      <c r="C216" s="48" t="s">
        <v>90</v>
      </c>
      <c r="D216" s="48" t="s">
        <v>19</v>
      </c>
      <c r="E216" s="41" t="s">
        <v>89</v>
      </c>
      <c r="F216" s="10">
        <v>0.92</v>
      </c>
      <c r="G216" s="87"/>
    </row>
    <row r="217" spans="1:10" x14ac:dyDescent="0.25">
      <c r="A217" s="65">
        <v>8</v>
      </c>
      <c r="B217" s="4">
        <v>27</v>
      </c>
      <c r="C217" s="48" t="s">
        <v>15</v>
      </c>
      <c r="D217" s="48" t="s">
        <v>16</v>
      </c>
      <c r="E217" s="41" t="s">
        <v>93</v>
      </c>
      <c r="F217" s="10">
        <v>0.7</v>
      </c>
      <c r="G217" s="85">
        <v>74</v>
      </c>
    </row>
    <row r="218" spans="1:10" x14ac:dyDescent="0.25">
      <c r="A218" s="65">
        <v>8</v>
      </c>
      <c r="B218" s="4">
        <v>26</v>
      </c>
      <c r="C218" s="18" t="s">
        <v>15</v>
      </c>
      <c r="D218" s="18" t="s">
        <v>27</v>
      </c>
      <c r="E218" s="13" t="s">
        <v>73</v>
      </c>
      <c r="F218" s="10">
        <v>0.78</v>
      </c>
      <c r="G218" s="87"/>
    </row>
    <row r="219" spans="1:10" x14ac:dyDescent="0.25">
      <c r="A219" s="65">
        <v>8</v>
      </c>
      <c r="B219" s="4">
        <v>28</v>
      </c>
      <c r="C219" s="18" t="s">
        <v>25</v>
      </c>
      <c r="D219" s="18" t="s">
        <v>20</v>
      </c>
      <c r="E219" s="39" t="s">
        <v>96</v>
      </c>
      <c r="F219" s="10">
        <v>0.83</v>
      </c>
      <c r="G219" s="85">
        <v>78</v>
      </c>
    </row>
    <row r="220" spans="1:10" x14ac:dyDescent="0.25">
      <c r="A220" s="65">
        <v>8</v>
      </c>
      <c r="B220" s="4">
        <v>1</v>
      </c>
      <c r="C220" s="48" t="s">
        <v>25</v>
      </c>
      <c r="D220" s="48" t="s">
        <v>16</v>
      </c>
      <c r="E220" s="41" t="s">
        <v>88</v>
      </c>
      <c r="F220" s="10">
        <v>0.88</v>
      </c>
      <c r="G220" s="86"/>
    </row>
    <row r="221" spans="1:10" x14ac:dyDescent="0.25">
      <c r="A221" s="65">
        <v>8</v>
      </c>
      <c r="B221" s="4">
        <v>21</v>
      </c>
      <c r="C221" s="7" t="s">
        <v>25</v>
      </c>
      <c r="D221" s="7" t="s">
        <v>16</v>
      </c>
      <c r="E221" s="47" t="s">
        <v>96</v>
      </c>
      <c r="F221" s="9">
        <v>0.71</v>
      </c>
      <c r="G221" s="86"/>
    </row>
    <row r="222" spans="1:10" x14ac:dyDescent="0.25">
      <c r="A222" s="65">
        <v>8</v>
      </c>
      <c r="B222" s="4">
        <v>28</v>
      </c>
      <c r="C222" s="48" t="s">
        <v>25</v>
      </c>
      <c r="D222" s="48" t="s">
        <v>19</v>
      </c>
      <c r="E222" s="40" t="s">
        <v>96</v>
      </c>
      <c r="F222" s="10">
        <v>0.71</v>
      </c>
      <c r="G222" s="87"/>
    </row>
    <row r="223" spans="1:10" x14ac:dyDescent="0.25">
      <c r="A223" s="65">
        <v>8</v>
      </c>
      <c r="B223" s="4">
        <v>22</v>
      </c>
      <c r="C223" s="18" t="s">
        <v>45</v>
      </c>
      <c r="D223" s="18" t="s">
        <v>20</v>
      </c>
      <c r="E223" s="13" t="s">
        <v>92</v>
      </c>
      <c r="F223" s="10">
        <v>0.75</v>
      </c>
      <c r="G223" s="85">
        <v>81</v>
      </c>
    </row>
    <row r="224" spans="1:10" x14ac:dyDescent="0.25">
      <c r="A224" s="65">
        <v>8</v>
      </c>
      <c r="B224" s="4">
        <v>6</v>
      </c>
      <c r="C224" s="48" t="s">
        <v>45</v>
      </c>
      <c r="D224" s="48" t="s">
        <v>22</v>
      </c>
      <c r="E224" s="41" t="s">
        <v>89</v>
      </c>
      <c r="F224" s="10">
        <v>0.75</v>
      </c>
      <c r="G224" s="86"/>
    </row>
    <row r="225" spans="1:7" x14ac:dyDescent="0.25">
      <c r="A225" s="65">
        <v>8</v>
      </c>
      <c r="B225" s="4">
        <v>27</v>
      </c>
      <c r="C225" s="48" t="s">
        <v>45</v>
      </c>
      <c r="D225" s="48" t="s">
        <v>22</v>
      </c>
      <c r="E225" s="41" t="s">
        <v>92</v>
      </c>
      <c r="F225" s="10">
        <v>0.83</v>
      </c>
      <c r="G225" s="86"/>
    </row>
    <row r="226" spans="1:7" x14ac:dyDescent="0.25">
      <c r="A226" s="65">
        <v>8</v>
      </c>
      <c r="B226" s="4">
        <v>4</v>
      </c>
      <c r="C226" s="48" t="s">
        <v>45</v>
      </c>
      <c r="D226" s="48" t="s">
        <v>22</v>
      </c>
      <c r="E226" s="41" t="s">
        <v>76</v>
      </c>
      <c r="F226" s="10">
        <v>1</v>
      </c>
      <c r="G226" s="86"/>
    </row>
    <row r="227" spans="1:7" x14ac:dyDescent="0.25">
      <c r="A227" s="65">
        <v>8</v>
      </c>
      <c r="B227" s="4">
        <v>5</v>
      </c>
      <c r="C227" s="48" t="s">
        <v>45</v>
      </c>
      <c r="D227" s="48" t="s">
        <v>75</v>
      </c>
      <c r="E227" s="41" t="s">
        <v>74</v>
      </c>
      <c r="F227" s="10">
        <v>0.89</v>
      </c>
      <c r="G227" s="86"/>
    </row>
    <row r="228" spans="1:7" x14ac:dyDescent="0.25">
      <c r="A228" s="65">
        <v>8</v>
      </c>
      <c r="B228" s="4">
        <v>7</v>
      </c>
      <c r="C228" s="48" t="s">
        <v>45</v>
      </c>
      <c r="D228" s="48" t="s">
        <v>75</v>
      </c>
      <c r="E228" s="41" t="s">
        <v>66</v>
      </c>
      <c r="F228" s="10">
        <v>0.7</v>
      </c>
      <c r="G228" s="86"/>
    </row>
    <row r="229" spans="1:7" x14ac:dyDescent="0.25">
      <c r="A229" s="65">
        <v>8</v>
      </c>
      <c r="B229" s="4">
        <v>14</v>
      </c>
      <c r="C229" s="18" t="s">
        <v>45</v>
      </c>
      <c r="D229" s="18" t="s">
        <v>75</v>
      </c>
      <c r="E229" s="13" t="s">
        <v>83</v>
      </c>
      <c r="F229" s="10">
        <v>0.71</v>
      </c>
      <c r="G229" s="86"/>
    </row>
    <row r="230" spans="1:7" x14ac:dyDescent="0.25">
      <c r="A230" s="65">
        <v>8</v>
      </c>
      <c r="B230" s="4">
        <v>12</v>
      </c>
      <c r="C230" s="18" t="s">
        <v>45</v>
      </c>
      <c r="D230" s="18" t="s">
        <v>75</v>
      </c>
      <c r="E230" s="13" t="s">
        <v>73</v>
      </c>
      <c r="F230" s="10">
        <v>0.88</v>
      </c>
      <c r="G230" s="86"/>
    </row>
    <row r="231" spans="1:7" x14ac:dyDescent="0.25">
      <c r="A231" s="65">
        <v>8</v>
      </c>
      <c r="B231" s="4">
        <v>26</v>
      </c>
      <c r="C231" s="48" t="s">
        <v>45</v>
      </c>
      <c r="D231" s="48" t="s">
        <v>75</v>
      </c>
      <c r="E231" s="40" t="s">
        <v>71</v>
      </c>
      <c r="F231" s="10">
        <v>0.71</v>
      </c>
      <c r="G231" s="86"/>
    </row>
    <row r="232" spans="1:7" x14ac:dyDescent="0.25">
      <c r="A232" s="65">
        <v>8</v>
      </c>
      <c r="B232" s="4">
        <v>1</v>
      </c>
      <c r="C232" s="18" t="s">
        <v>45</v>
      </c>
      <c r="D232" s="18" t="s">
        <v>16</v>
      </c>
      <c r="E232" s="13" t="s">
        <v>89</v>
      </c>
      <c r="F232" s="10">
        <v>1</v>
      </c>
      <c r="G232" s="86"/>
    </row>
    <row r="233" spans="1:7" x14ac:dyDescent="0.25">
      <c r="A233" s="65">
        <v>8</v>
      </c>
      <c r="B233" s="4">
        <v>19</v>
      </c>
      <c r="C233" s="18" t="s">
        <v>45</v>
      </c>
      <c r="D233" s="18" t="s">
        <v>16</v>
      </c>
      <c r="E233" s="13" t="s">
        <v>92</v>
      </c>
      <c r="F233" s="10">
        <v>0.75</v>
      </c>
      <c r="G233" s="86"/>
    </row>
    <row r="234" spans="1:7" x14ac:dyDescent="0.25">
      <c r="A234" s="65">
        <v>8</v>
      </c>
      <c r="B234" s="4">
        <v>6</v>
      </c>
      <c r="C234" s="18" t="s">
        <v>45</v>
      </c>
      <c r="D234" s="18" t="s">
        <v>23</v>
      </c>
      <c r="E234" s="13" t="s">
        <v>89</v>
      </c>
      <c r="F234" s="10">
        <v>0.73</v>
      </c>
      <c r="G234" s="86"/>
    </row>
    <row r="235" spans="1:7" x14ac:dyDescent="0.25">
      <c r="A235" s="65">
        <v>8</v>
      </c>
      <c r="B235" s="4">
        <v>27</v>
      </c>
      <c r="C235" s="18" t="s">
        <v>45</v>
      </c>
      <c r="D235" s="18" t="s">
        <v>23</v>
      </c>
      <c r="E235" s="13" t="s">
        <v>92</v>
      </c>
      <c r="F235" s="10">
        <v>0.83</v>
      </c>
      <c r="G235" s="86"/>
    </row>
    <row r="236" spans="1:7" x14ac:dyDescent="0.25">
      <c r="A236" s="65">
        <v>8</v>
      </c>
      <c r="B236" s="4">
        <v>4</v>
      </c>
      <c r="C236" s="18" t="s">
        <v>45</v>
      </c>
      <c r="D236" s="18" t="s">
        <v>23</v>
      </c>
      <c r="E236" s="13" t="s">
        <v>76</v>
      </c>
      <c r="F236" s="10">
        <v>1</v>
      </c>
      <c r="G236" s="86"/>
    </row>
    <row r="237" spans="1:7" x14ac:dyDescent="0.25">
      <c r="A237" s="65">
        <v>8</v>
      </c>
      <c r="B237" s="4">
        <v>22</v>
      </c>
      <c r="C237" s="48" t="s">
        <v>45</v>
      </c>
      <c r="D237" s="48" t="s">
        <v>19</v>
      </c>
      <c r="E237" s="41" t="s">
        <v>92</v>
      </c>
      <c r="F237" s="10">
        <v>0.63</v>
      </c>
      <c r="G237" s="86"/>
    </row>
    <row r="238" spans="1:7" x14ac:dyDescent="0.25">
      <c r="A238" s="65">
        <v>8</v>
      </c>
      <c r="B238" s="4">
        <v>13</v>
      </c>
      <c r="C238" s="48" t="s">
        <v>45</v>
      </c>
      <c r="D238" s="48" t="s">
        <v>27</v>
      </c>
      <c r="E238" s="41" t="s">
        <v>83</v>
      </c>
      <c r="F238" s="10">
        <v>0.67</v>
      </c>
      <c r="G238" s="86"/>
    </row>
    <row r="239" spans="1:7" x14ac:dyDescent="0.25">
      <c r="A239" s="65">
        <v>8</v>
      </c>
      <c r="B239" s="4">
        <v>20</v>
      </c>
      <c r="C239" s="48" t="s">
        <v>45</v>
      </c>
      <c r="D239" s="48" t="s">
        <v>27</v>
      </c>
      <c r="E239" s="40" t="s">
        <v>71</v>
      </c>
      <c r="F239" s="10">
        <v>1</v>
      </c>
      <c r="G239" s="87"/>
    </row>
    <row r="240" spans="1:7" x14ac:dyDescent="0.25">
      <c r="A240" s="65">
        <v>8</v>
      </c>
      <c r="B240" s="4">
        <v>4</v>
      </c>
      <c r="C240" s="48" t="s">
        <v>63</v>
      </c>
      <c r="D240" s="48" t="s">
        <v>20</v>
      </c>
      <c r="E240" s="41" t="s">
        <v>88</v>
      </c>
      <c r="F240" s="10">
        <v>1</v>
      </c>
      <c r="G240" s="85">
        <v>92</v>
      </c>
    </row>
    <row r="241" spans="1:7" x14ac:dyDescent="0.25">
      <c r="A241" s="65">
        <v>8</v>
      </c>
      <c r="B241" s="4">
        <v>28</v>
      </c>
      <c r="C241" s="48" t="s">
        <v>63</v>
      </c>
      <c r="D241" s="48" t="s">
        <v>20</v>
      </c>
      <c r="E241" s="40" t="s">
        <v>91</v>
      </c>
      <c r="F241" s="10">
        <v>1</v>
      </c>
      <c r="G241" s="86"/>
    </row>
    <row r="242" spans="1:7" x14ac:dyDescent="0.25">
      <c r="A242" s="65">
        <v>8</v>
      </c>
      <c r="B242" s="4">
        <v>5</v>
      </c>
      <c r="C242" s="48" t="s">
        <v>63</v>
      </c>
      <c r="D242" s="48" t="s">
        <v>22</v>
      </c>
      <c r="E242" s="41" t="s">
        <v>88</v>
      </c>
      <c r="F242" s="10">
        <v>0.9</v>
      </c>
      <c r="G242" s="86"/>
    </row>
    <row r="243" spans="1:7" x14ac:dyDescent="0.25">
      <c r="A243" s="65">
        <v>8</v>
      </c>
      <c r="B243" s="4">
        <v>21</v>
      </c>
      <c r="C243" s="18" t="s">
        <v>63</v>
      </c>
      <c r="D243" s="18" t="s">
        <v>22</v>
      </c>
      <c r="E243" s="39" t="s">
        <v>91</v>
      </c>
      <c r="F243" s="10">
        <v>0.92</v>
      </c>
      <c r="G243" s="86"/>
    </row>
    <row r="244" spans="1:7" x14ac:dyDescent="0.25">
      <c r="A244" s="65">
        <v>8</v>
      </c>
      <c r="B244" s="4">
        <v>12</v>
      </c>
      <c r="C244" s="18" t="s">
        <v>63</v>
      </c>
      <c r="D244" s="18" t="s">
        <v>16</v>
      </c>
      <c r="E244" s="39" t="s">
        <v>91</v>
      </c>
      <c r="F244" s="10">
        <v>0.93</v>
      </c>
      <c r="G244" s="86"/>
    </row>
    <row r="245" spans="1:7" x14ac:dyDescent="0.25">
      <c r="A245" s="65">
        <v>8</v>
      </c>
      <c r="B245" s="4">
        <v>5</v>
      </c>
      <c r="C245" s="7" t="s">
        <v>63</v>
      </c>
      <c r="D245" s="7" t="s">
        <v>23</v>
      </c>
      <c r="E245" s="8" t="s">
        <v>88</v>
      </c>
      <c r="F245" s="9">
        <v>0.7</v>
      </c>
      <c r="G245" s="86"/>
    </row>
    <row r="246" spans="1:7" x14ac:dyDescent="0.25">
      <c r="A246" s="65">
        <v>8</v>
      </c>
      <c r="B246" s="4">
        <v>28</v>
      </c>
      <c r="C246" s="18" t="s">
        <v>63</v>
      </c>
      <c r="D246" s="18" t="s">
        <v>23</v>
      </c>
      <c r="E246" s="47" t="s">
        <v>91</v>
      </c>
      <c r="F246" s="10">
        <v>1</v>
      </c>
      <c r="G246" s="86"/>
    </row>
    <row r="247" spans="1:7" x14ac:dyDescent="0.25">
      <c r="A247" s="65">
        <v>8</v>
      </c>
      <c r="B247" s="4">
        <v>4</v>
      </c>
      <c r="C247" s="18" t="s">
        <v>63</v>
      </c>
      <c r="D247" s="18" t="s">
        <v>19</v>
      </c>
      <c r="E247" s="13" t="s">
        <v>88</v>
      </c>
      <c r="F247" s="10">
        <v>1</v>
      </c>
      <c r="G247" s="86"/>
    </row>
    <row r="248" spans="1:7" x14ac:dyDescent="0.25">
      <c r="A248" s="65">
        <v>8</v>
      </c>
      <c r="B248" s="4">
        <v>19</v>
      </c>
      <c r="C248" s="48" t="s">
        <v>63</v>
      </c>
      <c r="D248" s="48" t="s">
        <v>19</v>
      </c>
      <c r="E248" s="40" t="s">
        <v>91</v>
      </c>
      <c r="F248" s="10">
        <v>0.85</v>
      </c>
      <c r="G248" s="87"/>
    </row>
    <row r="249" spans="1:7" x14ac:dyDescent="0.25">
      <c r="A249" s="38">
        <v>9</v>
      </c>
      <c r="B249" s="4">
        <v>2</v>
      </c>
      <c r="C249" s="48" t="s">
        <v>18</v>
      </c>
      <c r="D249" s="48" t="s">
        <v>16</v>
      </c>
      <c r="E249" s="41" t="s">
        <v>98</v>
      </c>
      <c r="F249" s="52">
        <v>0.83</v>
      </c>
      <c r="G249" s="85">
        <v>84</v>
      </c>
    </row>
    <row r="250" spans="1:7" x14ac:dyDescent="0.25">
      <c r="A250" s="38">
        <v>9</v>
      </c>
      <c r="B250" s="4">
        <v>5</v>
      </c>
      <c r="C250" s="48" t="s">
        <v>18</v>
      </c>
      <c r="D250" s="48" t="s">
        <v>20</v>
      </c>
      <c r="E250" s="41" t="s">
        <v>93</v>
      </c>
      <c r="F250" s="52">
        <v>0.78</v>
      </c>
      <c r="G250" s="86"/>
    </row>
    <row r="251" spans="1:7" x14ac:dyDescent="0.25">
      <c r="A251" s="38">
        <v>9</v>
      </c>
      <c r="B251" s="4">
        <v>23</v>
      </c>
      <c r="C251" s="18" t="s">
        <v>18</v>
      </c>
      <c r="D251" s="18" t="s">
        <v>20</v>
      </c>
      <c r="E251" s="13" t="s">
        <v>105</v>
      </c>
      <c r="F251" s="52">
        <v>1</v>
      </c>
      <c r="G251" s="86"/>
    </row>
    <row r="252" spans="1:7" x14ac:dyDescent="0.25">
      <c r="A252" s="38">
        <v>9</v>
      </c>
      <c r="B252" s="4">
        <v>4</v>
      </c>
      <c r="C252" s="18" t="s">
        <v>18</v>
      </c>
      <c r="D252" s="18" t="s">
        <v>22</v>
      </c>
      <c r="E252" s="39" t="s">
        <v>94</v>
      </c>
      <c r="F252" s="52">
        <v>0.8</v>
      </c>
      <c r="G252" s="86"/>
    </row>
    <row r="253" spans="1:7" x14ac:dyDescent="0.25">
      <c r="A253" s="38">
        <v>9</v>
      </c>
      <c r="B253" s="4">
        <v>11</v>
      </c>
      <c r="C253" s="48" t="s">
        <v>18</v>
      </c>
      <c r="D253" s="48" t="s">
        <v>22</v>
      </c>
      <c r="E253" s="40" t="s">
        <v>101</v>
      </c>
      <c r="F253" s="52">
        <v>0.83</v>
      </c>
      <c r="G253" s="86"/>
    </row>
    <row r="254" spans="1:7" x14ac:dyDescent="0.25">
      <c r="A254" s="38">
        <v>9</v>
      </c>
      <c r="B254" s="4">
        <v>8</v>
      </c>
      <c r="C254" s="18" t="s">
        <v>18</v>
      </c>
      <c r="D254" s="18" t="s">
        <v>16</v>
      </c>
      <c r="E254" s="39" t="s">
        <v>103</v>
      </c>
      <c r="F254" s="52">
        <v>0.75</v>
      </c>
      <c r="G254" s="86"/>
    </row>
    <row r="255" spans="1:7" x14ac:dyDescent="0.25">
      <c r="A255" s="38">
        <v>9</v>
      </c>
      <c r="B255" s="4">
        <v>10</v>
      </c>
      <c r="C255" s="48" t="s">
        <v>18</v>
      </c>
      <c r="D255" s="48" t="s">
        <v>16</v>
      </c>
      <c r="E255" s="40" t="s">
        <v>104</v>
      </c>
      <c r="F255" s="52">
        <v>0.89</v>
      </c>
      <c r="G255" s="86"/>
    </row>
    <row r="256" spans="1:7" x14ac:dyDescent="0.25">
      <c r="A256" s="38">
        <v>9</v>
      </c>
      <c r="B256" s="4">
        <v>4</v>
      </c>
      <c r="C256" s="48" t="s">
        <v>18</v>
      </c>
      <c r="D256" s="48" t="s">
        <v>23</v>
      </c>
      <c r="E256" s="40" t="s">
        <v>94</v>
      </c>
      <c r="F256" s="52">
        <v>0.9</v>
      </c>
      <c r="G256" s="86"/>
    </row>
    <row r="257" spans="1:7" x14ac:dyDescent="0.25">
      <c r="A257" s="38">
        <v>9</v>
      </c>
      <c r="B257" s="4">
        <v>11</v>
      </c>
      <c r="C257" s="18" t="s">
        <v>18</v>
      </c>
      <c r="D257" s="18" t="s">
        <v>23</v>
      </c>
      <c r="E257" s="39" t="s">
        <v>101</v>
      </c>
      <c r="F257" s="52">
        <v>0.83</v>
      </c>
      <c r="G257" s="86"/>
    </row>
    <row r="258" spans="1:7" x14ac:dyDescent="0.25">
      <c r="A258" s="38">
        <v>9</v>
      </c>
      <c r="B258" s="4">
        <v>5</v>
      </c>
      <c r="C258" s="18" t="s">
        <v>18</v>
      </c>
      <c r="D258" s="18" t="s">
        <v>19</v>
      </c>
      <c r="E258" s="13" t="s">
        <v>93</v>
      </c>
      <c r="F258" s="52">
        <v>0.7</v>
      </c>
      <c r="G258" s="86"/>
    </row>
    <row r="259" spans="1:7" x14ac:dyDescent="0.25">
      <c r="A259" s="38">
        <v>9</v>
      </c>
      <c r="B259" s="4">
        <v>23</v>
      </c>
      <c r="C259" s="48" t="s">
        <v>18</v>
      </c>
      <c r="D259" s="48" t="s">
        <v>19</v>
      </c>
      <c r="E259" s="41" t="s">
        <v>105</v>
      </c>
      <c r="F259" s="52">
        <v>1</v>
      </c>
      <c r="G259" s="86"/>
    </row>
    <row r="260" spans="1:7" x14ac:dyDescent="0.25">
      <c r="A260" s="38">
        <v>9</v>
      </c>
      <c r="B260" s="4">
        <v>24</v>
      </c>
      <c r="C260" s="48" t="s">
        <v>18</v>
      </c>
      <c r="D260" s="48" t="s">
        <v>27</v>
      </c>
      <c r="E260" s="41" t="s">
        <v>78</v>
      </c>
      <c r="F260" s="52">
        <v>0.78</v>
      </c>
      <c r="G260" s="87"/>
    </row>
    <row r="261" spans="1:7" x14ac:dyDescent="0.25">
      <c r="A261" s="38">
        <v>9</v>
      </c>
      <c r="B261" s="4">
        <v>4</v>
      </c>
      <c r="C261" s="48" t="s">
        <v>58</v>
      </c>
      <c r="D261" s="5" t="s">
        <v>20</v>
      </c>
      <c r="E261" s="40" t="s">
        <v>101</v>
      </c>
      <c r="F261" s="52">
        <v>0.83</v>
      </c>
      <c r="G261" s="85">
        <v>84</v>
      </c>
    </row>
    <row r="262" spans="1:7" x14ac:dyDescent="0.25">
      <c r="A262" s="38">
        <v>9</v>
      </c>
      <c r="B262" s="4">
        <v>10</v>
      </c>
      <c r="C262" s="48" t="s">
        <v>58</v>
      </c>
      <c r="D262" s="48" t="s">
        <v>20</v>
      </c>
      <c r="E262" s="40" t="s">
        <v>103</v>
      </c>
      <c r="F262" s="52">
        <v>0.8</v>
      </c>
      <c r="G262" s="86"/>
    </row>
    <row r="263" spans="1:7" x14ac:dyDescent="0.25">
      <c r="A263" s="38">
        <v>9</v>
      </c>
      <c r="B263" s="4">
        <v>16</v>
      </c>
      <c r="C263" s="48" t="s">
        <v>58</v>
      </c>
      <c r="D263" s="48" t="s">
        <v>20</v>
      </c>
      <c r="E263" s="40" t="s">
        <v>100</v>
      </c>
      <c r="F263" s="52">
        <v>0.78</v>
      </c>
      <c r="G263" s="86"/>
    </row>
    <row r="264" spans="1:7" x14ac:dyDescent="0.25">
      <c r="A264" s="38">
        <v>9</v>
      </c>
      <c r="B264" s="4">
        <v>11</v>
      </c>
      <c r="C264" s="18" t="s">
        <v>58</v>
      </c>
      <c r="D264" s="18" t="s">
        <v>20</v>
      </c>
      <c r="E264" s="13" t="s">
        <v>102</v>
      </c>
      <c r="F264" s="52">
        <v>0.8</v>
      </c>
      <c r="G264" s="86"/>
    </row>
    <row r="265" spans="1:7" x14ac:dyDescent="0.25">
      <c r="A265" s="38">
        <v>9</v>
      </c>
      <c r="B265" s="4">
        <v>9</v>
      </c>
      <c r="C265" s="48" t="s">
        <v>58</v>
      </c>
      <c r="D265" s="48" t="s">
        <v>22</v>
      </c>
      <c r="E265" s="41" t="s">
        <v>98</v>
      </c>
      <c r="F265" s="52">
        <v>0.8</v>
      </c>
      <c r="G265" s="86"/>
    </row>
    <row r="266" spans="1:7" x14ac:dyDescent="0.25">
      <c r="A266" s="38">
        <v>9</v>
      </c>
      <c r="B266" s="4">
        <v>23</v>
      </c>
      <c r="C266" s="48" t="s">
        <v>58</v>
      </c>
      <c r="D266" s="48" t="s">
        <v>22</v>
      </c>
      <c r="E266" s="41" t="s">
        <v>102</v>
      </c>
      <c r="F266" s="52">
        <v>0.75</v>
      </c>
      <c r="G266" s="86"/>
    </row>
    <row r="267" spans="1:7" x14ac:dyDescent="0.25">
      <c r="A267" s="38">
        <v>9</v>
      </c>
      <c r="B267" s="4">
        <v>8</v>
      </c>
      <c r="C267" s="48" t="s">
        <v>58</v>
      </c>
      <c r="D267" s="48" t="s">
        <v>75</v>
      </c>
      <c r="E267" s="41" t="s">
        <v>87</v>
      </c>
      <c r="F267" s="52">
        <v>0.83</v>
      </c>
      <c r="G267" s="86"/>
    </row>
    <row r="268" spans="1:7" x14ac:dyDescent="0.25">
      <c r="A268" s="38">
        <v>9</v>
      </c>
      <c r="B268" s="4">
        <v>5</v>
      </c>
      <c r="C268" s="18" t="s">
        <v>58</v>
      </c>
      <c r="D268" s="18" t="s">
        <v>16</v>
      </c>
      <c r="E268" s="13" t="s">
        <v>102</v>
      </c>
      <c r="F268" s="52">
        <v>0.86</v>
      </c>
      <c r="G268" s="86"/>
    </row>
    <row r="269" spans="1:7" x14ac:dyDescent="0.25">
      <c r="A269" s="38">
        <v>9</v>
      </c>
      <c r="B269" s="4">
        <v>9</v>
      </c>
      <c r="C269" s="18" t="s">
        <v>58</v>
      </c>
      <c r="D269" s="18" t="s">
        <v>23</v>
      </c>
      <c r="E269" s="13" t="s">
        <v>98</v>
      </c>
      <c r="F269" s="52">
        <v>0.86</v>
      </c>
      <c r="G269" s="86"/>
    </row>
    <row r="270" spans="1:7" x14ac:dyDescent="0.25">
      <c r="A270" s="38">
        <v>9</v>
      </c>
      <c r="B270" s="4">
        <v>23</v>
      </c>
      <c r="C270" s="18" t="s">
        <v>58</v>
      </c>
      <c r="D270" s="18" t="s">
        <v>23</v>
      </c>
      <c r="E270" s="13" t="s">
        <v>102</v>
      </c>
      <c r="F270" s="52">
        <v>1</v>
      </c>
      <c r="G270" s="86"/>
    </row>
    <row r="271" spans="1:7" x14ac:dyDescent="0.25">
      <c r="A271" s="38">
        <v>9</v>
      </c>
      <c r="B271" s="4">
        <v>4</v>
      </c>
      <c r="C271" s="18" t="s">
        <v>58</v>
      </c>
      <c r="D271" s="18" t="s">
        <v>19</v>
      </c>
      <c r="E271" s="39" t="s">
        <v>101</v>
      </c>
      <c r="F271" s="52">
        <v>0.83</v>
      </c>
      <c r="G271" s="86"/>
    </row>
    <row r="272" spans="1:7" x14ac:dyDescent="0.25">
      <c r="A272" s="38">
        <v>9</v>
      </c>
      <c r="B272" s="4">
        <v>10</v>
      </c>
      <c r="C272" s="18" t="s">
        <v>58</v>
      </c>
      <c r="D272" s="18" t="s">
        <v>19</v>
      </c>
      <c r="E272" s="39" t="s">
        <v>103</v>
      </c>
      <c r="F272" s="52">
        <v>0.8</v>
      </c>
      <c r="G272" s="86"/>
    </row>
    <row r="273" spans="1:7" x14ac:dyDescent="0.25">
      <c r="A273" s="38">
        <v>9</v>
      </c>
      <c r="B273" s="4">
        <v>16</v>
      </c>
      <c r="C273" s="18" t="s">
        <v>58</v>
      </c>
      <c r="D273" s="18" t="s">
        <v>19</v>
      </c>
      <c r="E273" s="39" t="s">
        <v>100</v>
      </c>
      <c r="F273" s="52">
        <v>0.78</v>
      </c>
      <c r="G273" s="86"/>
    </row>
    <row r="274" spans="1:7" x14ac:dyDescent="0.25">
      <c r="A274" s="38">
        <v>9</v>
      </c>
      <c r="B274" s="4">
        <v>11</v>
      </c>
      <c r="C274" s="48" t="s">
        <v>58</v>
      </c>
      <c r="D274" s="48" t="s">
        <v>19</v>
      </c>
      <c r="E274" s="41" t="s">
        <v>102</v>
      </c>
      <c r="F274" s="52">
        <v>0.83</v>
      </c>
      <c r="G274" s="86"/>
    </row>
    <row r="275" spans="1:7" x14ac:dyDescent="0.25">
      <c r="A275" s="38">
        <v>9</v>
      </c>
      <c r="B275" s="4">
        <v>25</v>
      </c>
      <c r="C275" s="5" t="s">
        <v>58</v>
      </c>
      <c r="D275" s="5" t="s">
        <v>27</v>
      </c>
      <c r="E275" s="41" t="s">
        <v>87</v>
      </c>
      <c r="F275" s="52">
        <v>1</v>
      </c>
      <c r="G275" s="87"/>
    </row>
    <row r="276" spans="1:7" x14ac:dyDescent="0.25">
      <c r="A276" s="38">
        <v>9</v>
      </c>
      <c r="B276" s="4">
        <v>5</v>
      </c>
      <c r="C276" s="48" t="s">
        <v>90</v>
      </c>
      <c r="D276" s="48" t="s">
        <v>20</v>
      </c>
      <c r="E276" s="41" t="s">
        <v>95</v>
      </c>
      <c r="F276" s="52">
        <v>0.83</v>
      </c>
      <c r="G276" s="85">
        <v>96</v>
      </c>
    </row>
    <row r="277" spans="1:7" x14ac:dyDescent="0.25">
      <c r="A277" s="38">
        <v>9</v>
      </c>
      <c r="B277" s="4">
        <v>12</v>
      </c>
      <c r="C277" s="18" t="s">
        <v>90</v>
      </c>
      <c r="D277" s="18" t="s">
        <v>22</v>
      </c>
      <c r="E277" s="39" t="s">
        <v>103</v>
      </c>
      <c r="F277" s="52">
        <v>1</v>
      </c>
      <c r="G277" s="86"/>
    </row>
    <row r="278" spans="1:7" x14ac:dyDescent="0.25">
      <c r="A278" s="38">
        <v>9</v>
      </c>
      <c r="B278" s="4">
        <v>12</v>
      </c>
      <c r="C278" s="48" t="s">
        <v>90</v>
      </c>
      <c r="D278" s="48" t="s">
        <v>23</v>
      </c>
      <c r="E278" s="40" t="s">
        <v>103</v>
      </c>
      <c r="F278" s="52">
        <v>1</v>
      </c>
      <c r="G278" s="86"/>
    </row>
    <row r="279" spans="1:7" x14ac:dyDescent="0.25">
      <c r="A279" s="38">
        <v>9</v>
      </c>
      <c r="B279" s="4">
        <v>5</v>
      </c>
      <c r="C279" s="18" t="s">
        <v>90</v>
      </c>
      <c r="D279" s="18" t="s">
        <v>19</v>
      </c>
      <c r="E279" s="13" t="s">
        <v>95</v>
      </c>
      <c r="F279" s="52">
        <v>1</v>
      </c>
      <c r="G279" s="87"/>
    </row>
    <row r="280" spans="1:7" x14ac:dyDescent="0.25">
      <c r="A280" s="38">
        <v>9</v>
      </c>
      <c r="B280" s="4">
        <v>9</v>
      </c>
      <c r="C280" s="18" t="s">
        <v>15</v>
      </c>
      <c r="D280" s="18" t="s">
        <v>20</v>
      </c>
      <c r="E280" s="13" t="s">
        <v>99</v>
      </c>
      <c r="F280" s="52">
        <v>0.75</v>
      </c>
      <c r="G280" s="85">
        <v>83</v>
      </c>
    </row>
    <row r="281" spans="1:7" x14ac:dyDescent="0.25">
      <c r="A281" s="38">
        <v>9</v>
      </c>
      <c r="B281" s="4">
        <v>23</v>
      </c>
      <c r="C281" s="48" t="s">
        <v>15</v>
      </c>
      <c r="D281" s="48" t="s">
        <v>20</v>
      </c>
      <c r="E281" s="40" t="s">
        <v>104</v>
      </c>
      <c r="F281" s="52">
        <v>0.86</v>
      </c>
      <c r="G281" s="86"/>
    </row>
    <row r="282" spans="1:7" x14ac:dyDescent="0.25">
      <c r="A282" s="38">
        <v>9</v>
      </c>
      <c r="B282" s="4">
        <v>8</v>
      </c>
      <c r="C282" s="48" t="s">
        <v>15</v>
      </c>
      <c r="D282" s="48" t="s">
        <v>22</v>
      </c>
      <c r="E282" s="41" t="s">
        <v>99</v>
      </c>
      <c r="F282" s="52">
        <v>0.88</v>
      </c>
      <c r="G282" s="86"/>
    </row>
    <row r="283" spans="1:7" x14ac:dyDescent="0.25">
      <c r="A283" s="38">
        <v>9</v>
      </c>
      <c r="B283" s="4">
        <v>11</v>
      </c>
      <c r="C283" s="48" t="s">
        <v>15</v>
      </c>
      <c r="D283" s="48" t="s">
        <v>22</v>
      </c>
      <c r="E283" s="41" t="s">
        <v>93</v>
      </c>
      <c r="F283" s="52">
        <v>0.71</v>
      </c>
      <c r="G283" s="86"/>
    </row>
    <row r="284" spans="1:7" x14ac:dyDescent="0.25">
      <c r="A284" s="38">
        <v>9</v>
      </c>
      <c r="B284" s="4">
        <v>24</v>
      </c>
      <c r="C284" s="48" t="s">
        <v>15</v>
      </c>
      <c r="D284" s="48" t="s">
        <v>22</v>
      </c>
      <c r="E284" s="40" t="s">
        <v>104</v>
      </c>
      <c r="F284" s="52">
        <v>0.86</v>
      </c>
      <c r="G284" s="86"/>
    </row>
    <row r="285" spans="1:7" x14ac:dyDescent="0.25">
      <c r="A285" s="38">
        <v>9</v>
      </c>
      <c r="B285" s="4">
        <v>4</v>
      </c>
      <c r="C285" s="48" t="s">
        <v>15</v>
      </c>
      <c r="D285" s="48" t="s">
        <v>75</v>
      </c>
      <c r="E285" s="41" t="s">
        <v>70</v>
      </c>
      <c r="F285" s="52">
        <v>1</v>
      </c>
      <c r="G285" s="86"/>
    </row>
    <row r="286" spans="1:7" x14ac:dyDescent="0.25">
      <c r="A286" s="38">
        <v>9</v>
      </c>
      <c r="B286" s="4">
        <v>2</v>
      </c>
      <c r="C286" s="18" t="s">
        <v>15</v>
      </c>
      <c r="D286" s="18" t="s">
        <v>16</v>
      </c>
      <c r="E286" s="13" t="s">
        <v>99</v>
      </c>
      <c r="F286" s="52">
        <v>0.75</v>
      </c>
      <c r="G286" s="86"/>
    </row>
    <row r="287" spans="1:7" x14ac:dyDescent="0.25">
      <c r="A287" s="38">
        <v>9</v>
      </c>
      <c r="B287" s="4">
        <v>30</v>
      </c>
      <c r="C287" s="18" t="s">
        <v>15</v>
      </c>
      <c r="D287" s="18" t="s">
        <v>16</v>
      </c>
      <c r="E287" s="13" t="s">
        <v>109</v>
      </c>
      <c r="F287" s="52">
        <v>1</v>
      </c>
      <c r="G287" s="86"/>
    </row>
    <row r="288" spans="1:7" x14ac:dyDescent="0.25">
      <c r="A288" s="38">
        <v>9</v>
      </c>
      <c r="B288" s="4">
        <v>8</v>
      </c>
      <c r="C288" s="18" t="s">
        <v>15</v>
      </c>
      <c r="D288" s="18" t="s">
        <v>23</v>
      </c>
      <c r="E288" s="13" t="s">
        <v>99</v>
      </c>
      <c r="F288" s="52">
        <v>0.75</v>
      </c>
      <c r="G288" s="86"/>
    </row>
    <row r="289" spans="1:7" x14ac:dyDescent="0.25">
      <c r="A289" s="38">
        <v>9</v>
      </c>
      <c r="B289" s="4">
        <v>11</v>
      </c>
      <c r="C289" s="18" t="s">
        <v>15</v>
      </c>
      <c r="D289" s="18" t="s">
        <v>23</v>
      </c>
      <c r="E289" s="13" t="s">
        <v>93</v>
      </c>
      <c r="F289" s="52">
        <v>0.71</v>
      </c>
      <c r="G289" s="86"/>
    </row>
    <row r="290" spans="1:7" x14ac:dyDescent="0.25">
      <c r="A290" s="38">
        <v>9</v>
      </c>
      <c r="B290" s="4">
        <v>24</v>
      </c>
      <c r="C290" s="18" t="s">
        <v>15</v>
      </c>
      <c r="D290" s="18" t="s">
        <v>23</v>
      </c>
      <c r="E290" s="39" t="s">
        <v>104</v>
      </c>
      <c r="F290" s="52">
        <v>0.86</v>
      </c>
      <c r="G290" s="86"/>
    </row>
    <row r="291" spans="1:7" x14ac:dyDescent="0.25">
      <c r="A291" s="38">
        <v>9</v>
      </c>
      <c r="B291" s="4">
        <v>9</v>
      </c>
      <c r="C291" s="48" t="s">
        <v>15</v>
      </c>
      <c r="D291" s="48" t="s">
        <v>19</v>
      </c>
      <c r="E291" s="41" t="s">
        <v>99</v>
      </c>
      <c r="F291" s="52">
        <v>0.75</v>
      </c>
      <c r="G291" s="86"/>
    </row>
    <row r="292" spans="1:7" x14ac:dyDescent="0.25">
      <c r="A292" s="38">
        <v>9</v>
      </c>
      <c r="B292" s="4">
        <v>23</v>
      </c>
      <c r="C292" s="18" t="s">
        <v>15</v>
      </c>
      <c r="D292" s="18" t="s">
        <v>19</v>
      </c>
      <c r="E292" s="39" t="s">
        <v>104</v>
      </c>
      <c r="F292" s="52">
        <v>0.88</v>
      </c>
      <c r="G292" s="87"/>
    </row>
    <row r="293" spans="1:7" x14ac:dyDescent="0.25">
      <c r="A293" s="38">
        <v>9</v>
      </c>
      <c r="B293" s="4">
        <v>16</v>
      </c>
      <c r="C293" s="18" t="s">
        <v>25</v>
      </c>
      <c r="D293" s="18" t="s">
        <v>20</v>
      </c>
      <c r="E293" s="39" t="s">
        <v>106</v>
      </c>
      <c r="F293" s="43">
        <v>0.5</v>
      </c>
      <c r="G293" s="85">
        <v>75</v>
      </c>
    </row>
    <row r="294" spans="1:7" x14ac:dyDescent="0.25">
      <c r="A294" s="38">
        <v>9</v>
      </c>
      <c r="B294" s="4">
        <v>25</v>
      </c>
      <c r="C294" s="18" t="s">
        <v>25</v>
      </c>
      <c r="D294" s="18" t="s">
        <v>20</v>
      </c>
      <c r="E294" s="39" t="s">
        <v>107</v>
      </c>
      <c r="F294" s="43">
        <v>0.63</v>
      </c>
      <c r="G294" s="86"/>
    </row>
    <row r="295" spans="1:7" x14ac:dyDescent="0.25">
      <c r="A295" s="38">
        <v>9</v>
      </c>
      <c r="B295" s="4">
        <v>10</v>
      </c>
      <c r="C295" s="48" t="s">
        <v>25</v>
      </c>
      <c r="D295" s="48" t="s">
        <v>22</v>
      </c>
      <c r="E295" s="40" t="s">
        <v>96</v>
      </c>
      <c r="F295" s="52">
        <v>1</v>
      </c>
      <c r="G295" s="86"/>
    </row>
    <row r="296" spans="1:7" x14ac:dyDescent="0.25">
      <c r="A296" s="38">
        <v>9</v>
      </c>
      <c r="B296" s="4">
        <v>11</v>
      </c>
      <c r="C296" s="18" t="s">
        <v>25</v>
      </c>
      <c r="D296" s="18" t="s">
        <v>16</v>
      </c>
      <c r="E296" s="13" t="s">
        <v>105</v>
      </c>
      <c r="F296" s="52">
        <v>1</v>
      </c>
      <c r="G296" s="86"/>
    </row>
    <row r="297" spans="1:7" x14ac:dyDescent="0.25">
      <c r="A297" s="38">
        <v>9</v>
      </c>
      <c r="B297" s="4">
        <v>10</v>
      </c>
      <c r="C297" s="18" t="s">
        <v>25</v>
      </c>
      <c r="D297" s="18" t="s">
        <v>23</v>
      </c>
      <c r="E297" s="39" t="s">
        <v>96</v>
      </c>
      <c r="F297" s="52">
        <v>0.75</v>
      </c>
      <c r="G297" s="86"/>
    </row>
    <row r="298" spans="1:7" x14ac:dyDescent="0.25">
      <c r="A298" s="38">
        <v>9</v>
      </c>
      <c r="B298" s="4">
        <v>4</v>
      </c>
      <c r="C298" s="18" t="s">
        <v>25</v>
      </c>
      <c r="D298" s="18" t="s">
        <v>19</v>
      </c>
      <c r="E298" s="13" t="s">
        <v>98</v>
      </c>
      <c r="F298" s="52">
        <v>0.71</v>
      </c>
      <c r="G298" s="86"/>
    </row>
    <row r="299" spans="1:7" x14ac:dyDescent="0.25">
      <c r="A299" s="38">
        <v>9</v>
      </c>
      <c r="B299" s="4">
        <v>16</v>
      </c>
      <c r="C299" s="48" t="s">
        <v>25</v>
      </c>
      <c r="D299" s="48" t="s">
        <v>19</v>
      </c>
      <c r="E299" s="40" t="s">
        <v>106</v>
      </c>
      <c r="F299" s="43">
        <v>0.67</v>
      </c>
      <c r="G299" s="86"/>
    </row>
    <row r="300" spans="1:7" x14ac:dyDescent="0.25">
      <c r="A300" s="38">
        <v>9</v>
      </c>
      <c r="B300" s="4">
        <v>25</v>
      </c>
      <c r="C300" s="48" t="s">
        <v>25</v>
      </c>
      <c r="D300" s="48" t="s">
        <v>19</v>
      </c>
      <c r="E300" s="40" t="s">
        <v>107</v>
      </c>
      <c r="F300" s="43">
        <v>0.63</v>
      </c>
      <c r="G300" s="86"/>
    </row>
    <row r="301" spans="1:7" x14ac:dyDescent="0.25">
      <c r="A301" s="38">
        <v>9</v>
      </c>
      <c r="B301" s="4">
        <v>4</v>
      </c>
      <c r="C301" s="48" t="s">
        <v>25</v>
      </c>
      <c r="D301" s="48" t="s">
        <v>20</v>
      </c>
      <c r="E301" s="41" t="s">
        <v>98</v>
      </c>
      <c r="F301" s="52">
        <v>0.86</v>
      </c>
      <c r="G301" s="87"/>
    </row>
    <row r="302" spans="1:7" x14ac:dyDescent="0.25">
      <c r="A302" s="38">
        <v>9</v>
      </c>
      <c r="B302" s="4">
        <v>9</v>
      </c>
      <c r="C302" s="48" t="s">
        <v>45</v>
      </c>
      <c r="D302" s="48" t="s">
        <v>22</v>
      </c>
      <c r="E302" s="40" t="s">
        <v>100</v>
      </c>
      <c r="F302" s="52">
        <v>0.7</v>
      </c>
      <c r="G302" s="85">
        <v>82</v>
      </c>
    </row>
    <row r="303" spans="1:7" x14ac:dyDescent="0.25">
      <c r="A303" s="38">
        <v>9</v>
      </c>
      <c r="B303" s="4">
        <v>18</v>
      </c>
      <c r="C303" s="5" t="s">
        <v>45</v>
      </c>
      <c r="D303" s="5" t="s">
        <v>22</v>
      </c>
      <c r="E303" s="41" t="s">
        <v>105</v>
      </c>
      <c r="F303" s="66">
        <v>1</v>
      </c>
      <c r="G303" s="86"/>
    </row>
    <row r="304" spans="1:7" x14ac:dyDescent="0.25">
      <c r="A304" s="38">
        <v>9</v>
      </c>
      <c r="B304" s="4">
        <v>24</v>
      </c>
      <c r="C304" s="18" t="s">
        <v>45</v>
      </c>
      <c r="D304" s="18" t="s">
        <v>22</v>
      </c>
      <c r="E304" s="39" t="s">
        <v>106</v>
      </c>
      <c r="F304" s="66">
        <v>1</v>
      </c>
      <c r="G304" s="86"/>
    </row>
    <row r="305" spans="1:7" x14ac:dyDescent="0.25">
      <c r="A305" s="38">
        <v>9</v>
      </c>
      <c r="B305" s="4">
        <v>22</v>
      </c>
      <c r="C305" s="48" t="s">
        <v>45</v>
      </c>
      <c r="D305" s="48" t="s">
        <v>22</v>
      </c>
      <c r="E305" s="40" t="s">
        <v>107</v>
      </c>
      <c r="F305" s="52">
        <v>0.83</v>
      </c>
      <c r="G305" s="86"/>
    </row>
    <row r="306" spans="1:7" x14ac:dyDescent="0.25">
      <c r="A306" s="38">
        <v>9</v>
      </c>
      <c r="B306" s="4">
        <v>3</v>
      </c>
      <c r="C306" s="48" t="s">
        <v>45</v>
      </c>
      <c r="D306" s="48" t="s">
        <v>75</v>
      </c>
      <c r="E306" s="41" t="s">
        <v>78</v>
      </c>
      <c r="F306" s="52">
        <v>0.83</v>
      </c>
      <c r="G306" s="86"/>
    </row>
    <row r="307" spans="1:7" x14ac:dyDescent="0.25">
      <c r="A307" s="38">
        <v>9</v>
      </c>
      <c r="B307" s="4">
        <v>4</v>
      </c>
      <c r="C307" s="18" t="s">
        <v>45</v>
      </c>
      <c r="D307" s="18" t="s">
        <v>16</v>
      </c>
      <c r="E307" s="39" t="s">
        <v>100</v>
      </c>
      <c r="F307" s="52">
        <v>0.9</v>
      </c>
      <c r="G307" s="86"/>
    </row>
    <row r="308" spans="1:7" x14ac:dyDescent="0.25">
      <c r="A308" s="38">
        <v>9</v>
      </c>
      <c r="B308" s="4">
        <v>16</v>
      </c>
      <c r="C308" s="18" t="s">
        <v>45</v>
      </c>
      <c r="D308" s="18" t="s">
        <v>16</v>
      </c>
      <c r="E308" s="39" t="s">
        <v>101</v>
      </c>
      <c r="F308" s="52">
        <v>0.71</v>
      </c>
      <c r="G308" s="86"/>
    </row>
    <row r="309" spans="1:7" x14ac:dyDescent="0.25">
      <c r="A309" s="38">
        <v>9</v>
      </c>
      <c r="B309" s="4">
        <v>17</v>
      </c>
      <c r="C309" s="18" t="s">
        <v>45</v>
      </c>
      <c r="D309" s="18" t="s">
        <v>16</v>
      </c>
      <c r="E309" s="39" t="s">
        <v>107</v>
      </c>
      <c r="F309" s="43">
        <v>0.43</v>
      </c>
      <c r="G309" s="86"/>
    </row>
    <row r="310" spans="1:7" x14ac:dyDescent="0.25">
      <c r="A310" s="38">
        <v>9</v>
      </c>
      <c r="B310" s="4">
        <v>9</v>
      </c>
      <c r="C310" s="18" t="s">
        <v>45</v>
      </c>
      <c r="D310" s="18" t="s">
        <v>23</v>
      </c>
      <c r="E310" s="39" t="s">
        <v>100</v>
      </c>
      <c r="F310" s="52">
        <v>0.7</v>
      </c>
      <c r="G310" s="86"/>
    </row>
    <row r="311" spans="1:7" x14ac:dyDescent="0.25">
      <c r="A311" s="38">
        <v>9</v>
      </c>
      <c r="B311" s="4">
        <v>18</v>
      </c>
      <c r="C311" s="18" t="s">
        <v>45</v>
      </c>
      <c r="D311" s="18" t="s">
        <v>23</v>
      </c>
      <c r="E311" s="13" t="s">
        <v>105</v>
      </c>
      <c r="F311" s="52">
        <v>1</v>
      </c>
      <c r="G311" s="86"/>
    </row>
    <row r="312" spans="1:7" x14ac:dyDescent="0.25">
      <c r="A312" s="38">
        <v>9</v>
      </c>
      <c r="B312" s="4">
        <v>24</v>
      </c>
      <c r="C312" s="48" t="s">
        <v>45</v>
      </c>
      <c r="D312" s="48" t="s">
        <v>23</v>
      </c>
      <c r="E312" s="40" t="s">
        <v>106</v>
      </c>
      <c r="F312" s="52">
        <v>1</v>
      </c>
      <c r="G312" s="86"/>
    </row>
    <row r="313" spans="1:7" x14ac:dyDescent="0.25">
      <c r="A313" s="38">
        <v>9</v>
      </c>
      <c r="B313" s="4">
        <v>22</v>
      </c>
      <c r="C313" s="18" t="s">
        <v>45</v>
      </c>
      <c r="D313" s="18" t="s">
        <v>23</v>
      </c>
      <c r="E313" s="39" t="s">
        <v>107</v>
      </c>
      <c r="F313" s="52">
        <v>0.71</v>
      </c>
      <c r="G313" s="87"/>
    </row>
    <row r="314" spans="1:7" x14ac:dyDescent="0.25">
      <c r="A314" s="38">
        <v>9</v>
      </c>
      <c r="B314" s="4">
        <v>22</v>
      </c>
      <c r="C314" s="48" t="s">
        <v>63</v>
      </c>
      <c r="D314" s="48" t="s">
        <v>20</v>
      </c>
      <c r="E314" s="41" t="s">
        <v>108</v>
      </c>
      <c r="F314" s="52">
        <v>0.88</v>
      </c>
      <c r="G314" s="85">
        <v>85</v>
      </c>
    </row>
    <row r="315" spans="1:7" x14ac:dyDescent="0.25">
      <c r="A315" s="38">
        <v>9</v>
      </c>
      <c r="B315" s="4">
        <v>18</v>
      </c>
      <c r="C315" s="18" t="s">
        <v>63</v>
      </c>
      <c r="D315" s="18" t="s">
        <v>22</v>
      </c>
      <c r="E315" s="13" t="s">
        <v>95</v>
      </c>
      <c r="F315" s="52">
        <v>0.83</v>
      </c>
      <c r="G315" s="86"/>
    </row>
    <row r="316" spans="1:7" x14ac:dyDescent="0.25">
      <c r="A316" s="38">
        <v>9</v>
      </c>
      <c r="B316" s="4">
        <v>24</v>
      </c>
      <c r="C316" s="18" t="s">
        <v>63</v>
      </c>
      <c r="D316" s="18" t="s">
        <v>22</v>
      </c>
      <c r="E316" s="13" t="s">
        <v>108</v>
      </c>
      <c r="F316" s="52">
        <v>0.88</v>
      </c>
      <c r="G316" s="86"/>
    </row>
    <row r="317" spans="1:7" x14ac:dyDescent="0.25">
      <c r="A317" s="38">
        <v>9</v>
      </c>
      <c r="B317" s="4">
        <v>11</v>
      </c>
      <c r="C317" s="48" t="s">
        <v>63</v>
      </c>
      <c r="D317" s="48" t="s">
        <v>16</v>
      </c>
      <c r="E317" s="40" t="s">
        <v>106</v>
      </c>
      <c r="F317" s="43">
        <v>0.67</v>
      </c>
      <c r="G317" s="86"/>
    </row>
    <row r="318" spans="1:7" x14ac:dyDescent="0.25">
      <c r="A318" s="38">
        <v>9</v>
      </c>
      <c r="B318" s="4">
        <v>15</v>
      </c>
      <c r="C318" s="48" t="s">
        <v>63</v>
      </c>
      <c r="D318" s="48" t="s">
        <v>16</v>
      </c>
      <c r="E318" s="41" t="s">
        <v>108</v>
      </c>
      <c r="F318" s="52">
        <v>0.89</v>
      </c>
      <c r="G318" s="86"/>
    </row>
    <row r="319" spans="1:7" x14ac:dyDescent="0.25">
      <c r="A319" s="38">
        <v>9</v>
      </c>
      <c r="B319" s="4">
        <v>18</v>
      </c>
      <c r="C319" s="48" t="s">
        <v>63</v>
      </c>
      <c r="D319" s="48" t="s">
        <v>23</v>
      </c>
      <c r="E319" s="41" t="s">
        <v>95</v>
      </c>
      <c r="F319" s="52">
        <v>1</v>
      </c>
      <c r="G319" s="86"/>
    </row>
    <row r="320" spans="1:7" x14ac:dyDescent="0.25">
      <c r="A320" s="38">
        <v>9</v>
      </c>
      <c r="B320" s="4">
        <v>24</v>
      </c>
      <c r="C320" s="48" t="s">
        <v>63</v>
      </c>
      <c r="D320" s="48" t="s">
        <v>23</v>
      </c>
      <c r="E320" s="41" t="s">
        <v>108</v>
      </c>
      <c r="F320" s="52">
        <v>0.88</v>
      </c>
      <c r="G320" s="86"/>
    </row>
    <row r="321" spans="1:7" x14ac:dyDescent="0.25">
      <c r="A321" s="38">
        <v>9</v>
      </c>
      <c r="B321" s="4">
        <v>22</v>
      </c>
      <c r="C321" s="18" t="s">
        <v>63</v>
      </c>
      <c r="D321" s="18" t="s">
        <v>19</v>
      </c>
      <c r="E321" s="13" t="s">
        <v>108</v>
      </c>
      <c r="F321" s="52">
        <v>0.78</v>
      </c>
      <c r="G321" s="87"/>
    </row>
    <row r="322" spans="1:7" x14ac:dyDescent="0.25">
      <c r="A322" s="38">
        <v>10</v>
      </c>
      <c r="B322" s="4">
        <v>31</v>
      </c>
      <c r="C322" s="48" t="s">
        <v>18</v>
      </c>
      <c r="D322" s="48" t="s">
        <v>20</v>
      </c>
      <c r="E322" s="70" t="s">
        <v>116</v>
      </c>
      <c r="F322" s="10">
        <v>0.83</v>
      </c>
      <c r="G322" s="85">
        <v>80</v>
      </c>
    </row>
    <row r="323" spans="1:7" x14ac:dyDescent="0.25">
      <c r="A323" s="38">
        <v>10</v>
      </c>
      <c r="B323" s="4">
        <v>15</v>
      </c>
      <c r="C323" s="48" t="s">
        <v>18</v>
      </c>
      <c r="D323" s="48" t="s">
        <v>22</v>
      </c>
      <c r="E323" s="41" t="s">
        <v>113</v>
      </c>
      <c r="F323" s="10">
        <v>0.93</v>
      </c>
      <c r="G323" s="86"/>
    </row>
    <row r="324" spans="1:7" x14ac:dyDescent="0.25">
      <c r="A324" s="38">
        <v>10</v>
      </c>
      <c r="B324" s="4">
        <v>30</v>
      </c>
      <c r="C324" s="18" t="s">
        <v>18</v>
      </c>
      <c r="D324" s="18" t="s">
        <v>22</v>
      </c>
      <c r="E324" s="69" t="s">
        <v>116</v>
      </c>
      <c r="F324" s="10">
        <v>0.83</v>
      </c>
      <c r="G324" s="86"/>
    </row>
    <row r="325" spans="1:7" x14ac:dyDescent="0.25">
      <c r="A325" s="38">
        <v>10</v>
      </c>
      <c r="B325" s="4">
        <v>8</v>
      </c>
      <c r="C325" s="18" t="s">
        <v>18</v>
      </c>
      <c r="D325" s="18" t="s">
        <v>16</v>
      </c>
      <c r="E325" s="13" t="s">
        <v>112</v>
      </c>
      <c r="F325" s="43">
        <v>0.67</v>
      </c>
      <c r="G325" s="86"/>
    </row>
    <row r="326" spans="1:7" x14ac:dyDescent="0.25">
      <c r="A326" s="38">
        <v>10</v>
      </c>
      <c r="B326" s="4">
        <v>28</v>
      </c>
      <c r="C326" s="5" t="s">
        <v>18</v>
      </c>
      <c r="D326" s="5" t="s">
        <v>16</v>
      </c>
      <c r="E326" s="70" t="s">
        <v>116</v>
      </c>
      <c r="F326" s="9">
        <v>0.71</v>
      </c>
      <c r="G326" s="86"/>
    </row>
    <row r="327" spans="1:7" x14ac:dyDescent="0.25">
      <c r="A327" s="38">
        <v>10</v>
      </c>
      <c r="B327" s="4">
        <v>15</v>
      </c>
      <c r="C327" s="7" t="s">
        <v>18</v>
      </c>
      <c r="D327" s="7" t="s">
        <v>23</v>
      </c>
      <c r="E327" s="13" t="s">
        <v>113</v>
      </c>
      <c r="F327" s="9">
        <v>0.73</v>
      </c>
      <c r="G327" s="86"/>
    </row>
    <row r="328" spans="1:7" x14ac:dyDescent="0.25">
      <c r="A328" s="38">
        <v>10</v>
      </c>
      <c r="B328" s="4">
        <v>30</v>
      </c>
      <c r="C328" s="48" t="s">
        <v>18</v>
      </c>
      <c r="D328" s="5" t="s">
        <v>23</v>
      </c>
      <c r="E328" s="70" t="s">
        <v>116</v>
      </c>
      <c r="F328" s="10">
        <v>0.83</v>
      </c>
      <c r="G328" s="86"/>
    </row>
    <row r="329" spans="1:7" x14ac:dyDescent="0.25">
      <c r="A329" s="38">
        <v>10</v>
      </c>
      <c r="B329" s="4">
        <v>31</v>
      </c>
      <c r="C329" s="18" t="s">
        <v>18</v>
      </c>
      <c r="D329" s="18" t="s">
        <v>19</v>
      </c>
      <c r="E329" s="69" t="s">
        <v>116</v>
      </c>
      <c r="F329" s="10">
        <v>0.8</v>
      </c>
      <c r="G329" s="86"/>
    </row>
    <row r="330" spans="1:7" x14ac:dyDescent="0.25">
      <c r="A330" s="38">
        <v>10</v>
      </c>
      <c r="B330" s="4">
        <v>21</v>
      </c>
      <c r="C330" s="18" t="s">
        <v>18</v>
      </c>
      <c r="D330" s="18" t="s">
        <v>27</v>
      </c>
      <c r="E330" s="39" t="s">
        <v>94</v>
      </c>
      <c r="F330" s="10">
        <v>0.86</v>
      </c>
      <c r="G330" s="87"/>
    </row>
    <row r="331" spans="1:7" x14ac:dyDescent="0.25">
      <c r="A331" s="38">
        <v>10</v>
      </c>
      <c r="B331" s="4">
        <v>16</v>
      </c>
      <c r="C331" s="18" t="s">
        <v>58</v>
      </c>
      <c r="D331" s="18" t="s">
        <v>20</v>
      </c>
      <c r="E331" s="13" t="s">
        <v>112</v>
      </c>
      <c r="F331" s="10">
        <v>0.8</v>
      </c>
      <c r="G331" s="85">
        <v>84</v>
      </c>
    </row>
    <row r="332" spans="1:7" x14ac:dyDescent="0.25">
      <c r="A332" s="38">
        <v>10</v>
      </c>
      <c r="B332" s="4">
        <v>13</v>
      </c>
      <c r="C332" s="48" t="s">
        <v>58</v>
      </c>
      <c r="D332" s="48" t="s">
        <v>20</v>
      </c>
      <c r="E332" s="41" t="s">
        <v>114</v>
      </c>
      <c r="F332" s="10">
        <v>0.75</v>
      </c>
      <c r="G332" s="86"/>
    </row>
    <row r="333" spans="1:7" x14ac:dyDescent="0.25">
      <c r="A333" s="38">
        <v>10</v>
      </c>
      <c r="B333" s="4">
        <v>3</v>
      </c>
      <c r="C333" s="5" t="s">
        <v>58</v>
      </c>
      <c r="D333" s="48" t="s">
        <v>22</v>
      </c>
      <c r="E333" s="41" t="s">
        <v>112</v>
      </c>
      <c r="F333" s="10">
        <v>1</v>
      </c>
      <c r="G333" s="86"/>
    </row>
    <row r="334" spans="1:7" x14ac:dyDescent="0.25">
      <c r="A334" s="38">
        <v>10</v>
      </c>
      <c r="B334" s="4">
        <v>3</v>
      </c>
      <c r="C334" s="18" t="s">
        <v>58</v>
      </c>
      <c r="D334" s="18" t="s">
        <v>23</v>
      </c>
      <c r="E334" s="13" t="s">
        <v>112</v>
      </c>
      <c r="F334" s="10">
        <v>1</v>
      </c>
      <c r="G334" s="86"/>
    </row>
    <row r="335" spans="1:7" x14ac:dyDescent="0.25">
      <c r="A335" s="38">
        <v>10</v>
      </c>
      <c r="B335" s="4">
        <v>16</v>
      </c>
      <c r="C335" s="48" t="s">
        <v>58</v>
      </c>
      <c r="D335" s="48" t="s">
        <v>19</v>
      </c>
      <c r="E335" s="41" t="s">
        <v>112</v>
      </c>
      <c r="F335" s="43">
        <v>0.6</v>
      </c>
      <c r="G335" s="86"/>
    </row>
    <row r="336" spans="1:7" x14ac:dyDescent="0.25">
      <c r="A336" s="38">
        <v>10</v>
      </c>
      <c r="B336" s="4">
        <v>13</v>
      </c>
      <c r="C336" s="18" t="s">
        <v>58</v>
      </c>
      <c r="D336" s="18" t="s">
        <v>19</v>
      </c>
      <c r="E336" s="13" t="s">
        <v>114</v>
      </c>
      <c r="F336" s="10">
        <v>0.75</v>
      </c>
      <c r="G336" s="86"/>
    </row>
    <row r="337" spans="1:7" x14ac:dyDescent="0.25">
      <c r="A337" s="38">
        <v>10</v>
      </c>
      <c r="B337" s="4">
        <v>21</v>
      </c>
      <c r="C337" s="18" t="s">
        <v>58</v>
      </c>
      <c r="D337" s="18" t="s">
        <v>27</v>
      </c>
      <c r="E337" s="13" t="s">
        <v>109</v>
      </c>
      <c r="F337" s="10">
        <v>1</v>
      </c>
      <c r="G337" s="87"/>
    </row>
    <row r="338" spans="1:7" x14ac:dyDescent="0.25">
      <c r="A338" s="38">
        <v>10</v>
      </c>
      <c r="B338" s="4">
        <v>3</v>
      </c>
      <c r="C338" s="18" t="s">
        <v>90</v>
      </c>
      <c r="D338" s="18" t="s">
        <v>22</v>
      </c>
      <c r="E338" s="13" t="s">
        <v>109</v>
      </c>
      <c r="F338" s="10">
        <v>1</v>
      </c>
      <c r="G338" s="90">
        <v>100</v>
      </c>
    </row>
    <row r="339" spans="1:7" x14ac:dyDescent="0.25">
      <c r="A339" s="38">
        <v>10</v>
      </c>
      <c r="B339" s="4">
        <v>3</v>
      </c>
      <c r="C339" s="48" t="s">
        <v>90</v>
      </c>
      <c r="D339" s="48" t="s">
        <v>23</v>
      </c>
      <c r="E339" s="41" t="s">
        <v>109</v>
      </c>
      <c r="F339" s="10">
        <v>1</v>
      </c>
      <c r="G339" s="91"/>
    </row>
    <row r="340" spans="1:7" x14ac:dyDescent="0.25">
      <c r="A340" s="38">
        <v>10</v>
      </c>
      <c r="B340" s="4">
        <v>21</v>
      </c>
      <c r="C340" s="18" t="s">
        <v>15</v>
      </c>
      <c r="D340" s="18" t="s">
        <v>84</v>
      </c>
      <c r="E340" s="39" t="s">
        <v>100</v>
      </c>
      <c r="F340" s="10">
        <v>0.86</v>
      </c>
      <c r="G340" s="85">
        <v>92</v>
      </c>
    </row>
    <row r="341" spans="1:7" x14ac:dyDescent="0.25">
      <c r="A341" s="38">
        <v>10</v>
      </c>
      <c r="B341" s="4">
        <v>21</v>
      </c>
      <c r="C341" s="48" t="s">
        <v>15</v>
      </c>
      <c r="D341" s="48" t="s">
        <v>28</v>
      </c>
      <c r="E341" s="40" t="s">
        <v>100</v>
      </c>
      <c r="F341" s="10">
        <v>0.86</v>
      </c>
      <c r="G341" s="86"/>
    </row>
    <row r="342" spans="1:7" x14ac:dyDescent="0.25">
      <c r="A342" s="38">
        <v>10</v>
      </c>
      <c r="B342" s="4">
        <v>9</v>
      </c>
      <c r="C342" s="18" t="s">
        <v>15</v>
      </c>
      <c r="D342" s="18" t="s">
        <v>22</v>
      </c>
      <c r="E342" s="13" t="s">
        <v>114</v>
      </c>
      <c r="F342" s="10">
        <v>1</v>
      </c>
      <c r="G342" s="86"/>
    </row>
    <row r="343" spans="1:7" x14ac:dyDescent="0.25">
      <c r="A343" s="38">
        <v>10</v>
      </c>
      <c r="B343" s="4">
        <v>3</v>
      </c>
      <c r="C343" s="48" t="s">
        <v>15</v>
      </c>
      <c r="D343" s="48" t="s">
        <v>75</v>
      </c>
      <c r="E343" s="40" t="s">
        <v>106</v>
      </c>
      <c r="F343" s="10">
        <v>1</v>
      </c>
      <c r="G343" s="86"/>
    </row>
    <row r="344" spans="1:7" x14ac:dyDescent="0.25">
      <c r="A344" s="38">
        <v>10</v>
      </c>
      <c r="B344" s="4">
        <v>9</v>
      </c>
      <c r="C344" s="48" t="s">
        <v>15</v>
      </c>
      <c r="D344" s="48" t="s">
        <v>23</v>
      </c>
      <c r="E344" s="41" t="s">
        <v>114</v>
      </c>
      <c r="F344" s="10">
        <v>1</v>
      </c>
      <c r="G344" s="86"/>
    </row>
    <row r="345" spans="1:7" x14ac:dyDescent="0.25">
      <c r="A345" s="38">
        <v>10</v>
      </c>
      <c r="B345" s="4">
        <v>15</v>
      </c>
      <c r="C345" s="48" t="s">
        <v>15</v>
      </c>
      <c r="D345" s="48" t="s">
        <v>27</v>
      </c>
      <c r="E345" s="40" t="s">
        <v>100</v>
      </c>
      <c r="F345" s="10">
        <v>0.78</v>
      </c>
      <c r="G345" s="87"/>
    </row>
    <row r="346" spans="1:7" x14ac:dyDescent="0.25">
      <c r="A346" s="38">
        <v>10</v>
      </c>
      <c r="B346" s="4">
        <v>16</v>
      </c>
      <c r="C346" s="18" t="s">
        <v>25</v>
      </c>
      <c r="D346" s="18" t="s">
        <v>20</v>
      </c>
      <c r="E346" s="13" t="s">
        <v>110</v>
      </c>
      <c r="F346" s="10">
        <v>1</v>
      </c>
      <c r="G346" s="85">
        <v>87</v>
      </c>
    </row>
    <row r="347" spans="1:7" x14ac:dyDescent="0.25">
      <c r="A347" s="38">
        <v>10</v>
      </c>
      <c r="B347" s="4">
        <v>21</v>
      </c>
      <c r="C347" s="5" t="s">
        <v>25</v>
      </c>
      <c r="D347" s="48" t="s">
        <v>20</v>
      </c>
      <c r="E347" s="40" t="s">
        <v>111</v>
      </c>
      <c r="F347" s="9">
        <v>0.8</v>
      </c>
      <c r="G347" s="86"/>
    </row>
    <row r="348" spans="1:7" x14ac:dyDescent="0.25">
      <c r="A348" s="38">
        <v>10</v>
      </c>
      <c r="B348" s="4">
        <v>9</v>
      </c>
      <c r="C348" s="5" t="s">
        <v>25</v>
      </c>
      <c r="D348" s="5" t="s">
        <v>22</v>
      </c>
      <c r="E348" s="41" t="s">
        <v>110</v>
      </c>
      <c r="F348" s="9">
        <v>1</v>
      </c>
      <c r="G348" s="86"/>
    </row>
    <row r="349" spans="1:7" x14ac:dyDescent="0.25">
      <c r="A349" s="38">
        <v>10</v>
      </c>
      <c r="B349" s="4">
        <v>28</v>
      </c>
      <c r="C349" s="7" t="s">
        <v>25</v>
      </c>
      <c r="D349" s="7" t="s">
        <v>22</v>
      </c>
      <c r="E349" s="47" t="s">
        <v>111</v>
      </c>
      <c r="F349" s="9">
        <v>0.88</v>
      </c>
      <c r="G349" s="86"/>
    </row>
    <row r="350" spans="1:7" x14ac:dyDescent="0.25">
      <c r="A350" s="38">
        <v>10</v>
      </c>
      <c r="B350" s="4">
        <v>2</v>
      </c>
      <c r="C350" s="7" t="s">
        <v>25</v>
      </c>
      <c r="D350" s="7" t="s">
        <v>16</v>
      </c>
      <c r="E350" s="8" t="s">
        <v>110</v>
      </c>
      <c r="F350" s="9">
        <v>0.88</v>
      </c>
      <c r="G350" s="86"/>
    </row>
    <row r="351" spans="1:7" x14ac:dyDescent="0.25">
      <c r="A351" s="38">
        <v>10</v>
      </c>
      <c r="B351" s="4">
        <v>14</v>
      </c>
      <c r="C351" s="5" t="s">
        <v>25</v>
      </c>
      <c r="D351" s="48" t="s">
        <v>16</v>
      </c>
      <c r="E351" s="46" t="s">
        <v>111</v>
      </c>
      <c r="F351" s="9">
        <v>0.8</v>
      </c>
      <c r="G351" s="86"/>
    </row>
    <row r="352" spans="1:7" x14ac:dyDescent="0.25">
      <c r="A352" s="38">
        <v>10</v>
      </c>
      <c r="B352" s="4">
        <v>3</v>
      </c>
      <c r="C352" s="7" t="s">
        <v>25</v>
      </c>
      <c r="D352" s="7" t="s">
        <v>16</v>
      </c>
      <c r="E352" s="8" t="s">
        <v>113</v>
      </c>
      <c r="F352" s="9">
        <v>0.88</v>
      </c>
      <c r="G352" s="86"/>
    </row>
    <row r="353" spans="1:7" x14ac:dyDescent="0.25">
      <c r="A353" s="38">
        <v>10</v>
      </c>
      <c r="B353" s="4">
        <v>31</v>
      </c>
      <c r="C353" s="7" t="s">
        <v>25</v>
      </c>
      <c r="D353" s="7" t="s">
        <v>16</v>
      </c>
      <c r="E353" s="72" t="s">
        <v>115</v>
      </c>
      <c r="F353" s="10">
        <v>0.88</v>
      </c>
      <c r="G353" s="86"/>
    </row>
    <row r="354" spans="1:7" x14ac:dyDescent="0.25">
      <c r="A354" s="38">
        <v>10</v>
      </c>
      <c r="B354" s="4">
        <v>9</v>
      </c>
      <c r="C354" s="7" t="s">
        <v>25</v>
      </c>
      <c r="D354" s="7" t="s">
        <v>23</v>
      </c>
      <c r="E354" s="13" t="s">
        <v>110</v>
      </c>
      <c r="F354" s="9">
        <v>0.88</v>
      </c>
      <c r="G354" s="86"/>
    </row>
    <row r="355" spans="1:7" x14ac:dyDescent="0.25">
      <c r="A355" s="38">
        <v>10</v>
      </c>
      <c r="B355" s="4">
        <v>28</v>
      </c>
      <c r="C355" s="5" t="s">
        <v>25</v>
      </c>
      <c r="D355" s="5" t="s">
        <v>23</v>
      </c>
      <c r="E355" s="40" t="s">
        <v>111</v>
      </c>
      <c r="F355" s="9">
        <v>0.88</v>
      </c>
      <c r="G355" s="86"/>
    </row>
    <row r="356" spans="1:7" x14ac:dyDescent="0.25">
      <c r="A356" s="38">
        <v>10</v>
      </c>
      <c r="B356" s="4">
        <v>16</v>
      </c>
      <c r="C356" s="5" t="s">
        <v>25</v>
      </c>
      <c r="D356" s="5" t="s">
        <v>19</v>
      </c>
      <c r="E356" s="41" t="s">
        <v>110</v>
      </c>
      <c r="F356" s="9">
        <v>0.83</v>
      </c>
      <c r="G356" s="86"/>
    </row>
    <row r="357" spans="1:7" x14ac:dyDescent="0.25">
      <c r="A357" s="38">
        <v>10</v>
      </c>
      <c r="B357" s="4">
        <v>21</v>
      </c>
      <c r="C357" s="18" t="s">
        <v>25</v>
      </c>
      <c r="D357" s="7" t="s">
        <v>19</v>
      </c>
      <c r="E357" s="39" t="s">
        <v>111</v>
      </c>
      <c r="F357" s="10">
        <v>0.8</v>
      </c>
      <c r="G357" s="86"/>
    </row>
    <row r="358" spans="1:7" x14ac:dyDescent="0.25">
      <c r="A358" s="38">
        <v>10</v>
      </c>
      <c r="B358" s="4">
        <v>1</v>
      </c>
      <c r="C358" s="18" t="s">
        <v>25</v>
      </c>
      <c r="D358" s="18" t="s">
        <v>27</v>
      </c>
      <c r="E358" s="39" t="s">
        <v>106</v>
      </c>
      <c r="F358" s="10">
        <v>0.83</v>
      </c>
      <c r="G358" s="87"/>
    </row>
    <row r="359" spans="1:7" x14ac:dyDescent="0.25">
      <c r="A359" s="38">
        <v>10</v>
      </c>
      <c r="B359" s="4">
        <v>8</v>
      </c>
      <c r="C359" s="18" t="s">
        <v>45</v>
      </c>
      <c r="D359" s="68" t="s">
        <v>20</v>
      </c>
      <c r="E359" s="13" t="s">
        <v>113</v>
      </c>
      <c r="F359" s="10">
        <v>0.93</v>
      </c>
      <c r="G359" s="85">
        <v>79</v>
      </c>
    </row>
    <row r="360" spans="1:7" x14ac:dyDescent="0.25">
      <c r="A360" s="38">
        <v>10</v>
      </c>
      <c r="B360" s="4">
        <v>23</v>
      </c>
      <c r="C360" s="48" t="s">
        <v>45</v>
      </c>
      <c r="D360" s="67" t="s">
        <v>75</v>
      </c>
      <c r="E360" s="41" t="s">
        <v>109</v>
      </c>
      <c r="F360" s="10">
        <v>1</v>
      </c>
      <c r="G360" s="86"/>
    </row>
    <row r="361" spans="1:7" x14ac:dyDescent="0.25">
      <c r="A361" s="38">
        <v>10</v>
      </c>
      <c r="B361" s="4">
        <v>24</v>
      </c>
      <c r="C361" s="48" t="s">
        <v>45</v>
      </c>
      <c r="D361" s="67" t="s">
        <v>75</v>
      </c>
      <c r="E361" s="40" t="s">
        <v>101</v>
      </c>
      <c r="F361" s="43">
        <v>0.67</v>
      </c>
      <c r="G361" s="86"/>
    </row>
    <row r="362" spans="1:7" x14ac:dyDescent="0.25">
      <c r="A362" s="38">
        <v>10</v>
      </c>
      <c r="B362" s="4">
        <v>8</v>
      </c>
      <c r="C362" s="48" t="s">
        <v>45</v>
      </c>
      <c r="D362" s="67" t="s">
        <v>19</v>
      </c>
      <c r="E362" s="41" t="s">
        <v>113</v>
      </c>
      <c r="F362" s="43">
        <v>0.56999999999999995</v>
      </c>
      <c r="G362" s="86"/>
    </row>
    <row r="363" spans="1:7" x14ac:dyDescent="0.25">
      <c r="A363" s="38">
        <v>10</v>
      </c>
      <c r="B363" s="4">
        <v>10</v>
      </c>
      <c r="C363" s="18" t="s">
        <v>45</v>
      </c>
      <c r="D363" s="68" t="s">
        <v>27</v>
      </c>
      <c r="E363" s="13" t="s">
        <v>92</v>
      </c>
      <c r="F363" s="10">
        <v>0.75</v>
      </c>
      <c r="G363" s="86"/>
    </row>
    <row r="364" spans="1:7" x14ac:dyDescent="0.25">
      <c r="A364" s="38">
        <v>10</v>
      </c>
      <c r="B364" s="4">
        <v>20</v>
      </c>
      <c r="C364" s="48" t="s">
        <v>45</v>
      </c>
      <c r="D364" s="67" t="s">
        <v>27</v>
      </c>
      <c r="E364" s="40" t="s">
        <v>104</v>
      </c>
      <c r="F364" s="10">
        <v>0.8</v>
      </c>
      <c r="G364" s="87"/>
    </row>
    <row r="365" spans="1:7" x14ac:dyDescent="0.25">
      <c r="A365" s="38">
        <v>10</v>
      </c>
      <c r="B365" s="4">
        <v>3</v>
      </c>
      <c r="C365" s="48" t="s">
        <v>63</v>
      </c>
      <c r="D365" s="67" t="s">
        <v>16</v>
      </c>
      <c r="E365" s="41" t="s">
        <v>114</v>
      </c>
      <c r="F365" s="43">
        <v>0.6</v>
      </c>
      <c r="G365" s="30">
        <v>60</v>
      </c>
    </row>
    <row r="366" spans="1:7" x14ac:dyDescent="0.25">
      <c r="A366" s="38">
        <v>10</v>
      </c>
      <c r="B366" s="4">
        <v>7</v>
      </c>
      <c r="C366" s="48" t="s">
        <v>119</v>
      </c>
      <c r="D366" s="67" t="s">
        <v>20</v>
      </c>
      <c r="E366" s="41" t="s">
        <v>109</v>
      </c>
      <c r="F366" s="10">
        <v>1</v>
      </c>
      <c r="G366" s="85">
        <v>100</v>
      </c>
    </row>
    <row r="367" spans="1:7" x14ac:dyDescent="0.25">
      <c r="A367" s="38">
        <v>10</v>
      </c>
      <c r="B367" s="4">
        <v>7</v>
      </c>
      <c r="C367" s="48" t="s">
        <v>119</v>
      </c>
      <c r="D367" s="68" t="s">
        <v>19</v>
      </c>
      <c r="E367" s="13" t="s">
        <v>109</v>
      </c>
      <c r="F367" s="10">
        <v>1</v>
      </c>
      <c r="G367" s="87"/>
    </row>
    <row r="368" spans="1:7" x14ac:dyDescent="0.25">
      <c r="A368" s="38">
        <v>11</v>
      </c>
      <c r="B368" s="4">
        <v>6</v>
      </c>
      <c r="C368" s="18" t="s">
        <v>18</v>
      </c>
      <c r="D368" s="68" t="s">
        <v>75</v>
      </c>
      <c r="E368" s="39" t="s">
        <v>94</v>
      </c>
      <c r="F368" s="10">
        <v>1</v>
      </c>
      <c r="G368" s="85">
        <v>86</v>
      </c>
    </row>
    <row r="369" spans="1:7" x14ac:dyDescent="0.25">
      <c r="A369" s="38">
        <v>11</v>
      </c>
      <c r="B369" s="4">
        <v>26</v>
      </c>
      <c r="C369" s="48" t="s">
        <v>18</v>
      </c>
      <c r="D369" s="67" t="s">
        <v>27</v>
      </c>
      <c r="E369" s="70" t="s">
        <v>116</v>
      </c>
      <c r="F369" s="10">
        <v>0.71</v>
      </c>
      <c r="G369" s="86"/>
    </row>
    <row r="370" spans="1:7" x14ac:dyDescent="0.25">
      <c r="A370" s="38">
        <v>11</v>
      </c>
      <c r="B370" s="4">
        <v>1</v>
      </c>
      <c r="C370" s="18" t="s">
        <v>18</v>
      </c>
      <c r="D370" s="68" t="s">
        <v>16</v>
      </c>
      <c r="E370" s="69" t="s">
        <v>118</v>
      </c>
      <c r="F370" s="10">
        <v>0.83</v>
      </c>
      <c r="G370" s="86"/>
    </row>
    <row r="371" spans="1:7" x14ac:dyDescent="0.25">
      <c r="A371" s="38">
        <v>11</v>
      </c>
      <c r="B371" s="4">
        <v>7</v>
      </c>
      <c r="C371" s="48" t="s">
        <v>18</v>
      </c>
      <c r="D371" s="67" t="s">
        <v>19</v>
      </c>
      <c r="E371" s="70" t="s">
        <v>118</v>
      </c>
      <c r="F371" s="10">
        <v>0.83</v>
      </c>
      <c r="G371" s="86"/>
    </row>
    <row r="372" spans="1:7" x14ac:dyDescent="0.25">
      <c r="A372" s="38">
        <v>11</v>
      </c>
      <c r="B372" s="4">
        <v>7</v>
      </c>
      <c r="C372" s="18" t="s">
        <v>18</v>
      </c>
      <c r="D372" s="68" t="s">
        <v>20</v>
      </c>
      <c r="E372" s="69" t="s">
        <v>118</v>
      </c>
      <c r="F372" s="10">
        <v>0.83</v>
      </c>
      <c r="G372" s="86"/>
    </row>
    <row r="373" spans="1:7" x14ac:dyDescent="0.25">
      <c r="A373" s="38">
        <v>11</v>
      </c>
      <c r="B373" s="4">
        <v>10</v>
      </c>
      <c r="C373" s="48" t="s">
        <v>18</v>
      </c>
      <c r="D373" s="67" t="s">
        <v>22</v>
      </c>
      <c r="E373" s="70" t="s">
        <v>118</v>
      </c>
      <c r="F373" s="10">
        <v>1</v>
      </c>
      <c r="G373" s="86"/>
    </row>
    <row r="374" spans="1:7" x14ac:dyDescent="0.25">
      <c r="A374" s="38">
        <v>11</v>
      </c>
      <c r="B374" s="4">
        <v>10</v>
      </c>
      <c r="C374" s="18" t="s">
        <v>18</v>
      </c>
      <c r="D374" s="68" t="s">
        <v>23</v>
      </c>
      <c r="E374" s="69" t="s">
        <v>118</v>
      </c>
      <c r="F374" s="10">
        <v>0.83</v>
      </c>
      <c r="G374" s="86"/>
    </row>
    <row r="375" spans="1:7" x14ac:dyDescent="0.25">
      <c r="A375" s="38">
        <v>11</v>
      </c>
      <c r="B375" s="4">
        <v>21</v>
      </c>
      <c r="C375" s="48" t="s">
        <v>18</v>
      </c>
      <c r="D375" s="67" t="s">
        <v>27</v>
      </c>
      <c r="E375" s="70" t="s">
        <v>118</v>
      </c>
      <c r="F375" s="10">
        <v>0.83</v>
      </c>
      <c r="G375" s="87"/>
    </row>
    <row r="376" spans="1:7" x14ac:dyDescent="0.25">
      <c r="A376" s="38">
        <v>11</v>
      </c>
      <c r="B376" s="4">
        <v>6</v>
      </c>
      <c r="C376" s="48" t="s">
        <v>58</v>
      </c>
      <c r="D376" s="67" t="s">
        <v>75</v>
      </c>
      <c r="E376" s="41" t="s">
        <v>102</v>
      </c>
      <c r="F376" s="10">
        <v>0.8</v>
      </c>
      <c r="G376" s="85">
        <v>90</v>
      </c>
    </row>
    <row r="377" spans="1:7" x14ac:dyDescent="0.25">
      <c r="A377" s="38">
        <v>11</v>
      </c>
      <c r="B377" s="4">
        <v>12</v>
      </c>
      <c r="C377" s="18" t="s">
        <v>58</v>
      </c>
      <c r="D377" s="68" t="s">
        <v>27</v>
      </c>
      <c r="E377" s="13" t="s">
        <v>102</v>
      </c>
      <c r="F377" s="10">
        <v>1</v>
      </c>
      <c r="G377" s="87"/>
    </row>
    <row r="378" spans="1:7" x14ac:dyDescent="0.25">
      <c r="A378" s="38">
        <v>11</v>
      </c>
      <c r="B378" s="4">
        <v>18</v>
      </c>
      <c r="C378" s="48" t="s">
        <v>15</v>
      </c>
      <c r="D378" s="67" t="s">
        <v>27</v>
      </c>
      <c r="E378" s="41" t="s">
        <v>95</v>
      </c>
      <c r="F378" s="10">
        <v>0.75</v>
      </c>
      <c r="G378" s="85">
        <v>94</v>
      </c>
    </row>
    <row r="379" spans="1:7" x14ac:dyDescent="0.25">
      <c r="A379" s="38">
        <v>11</v>
      </c>
      <c r="B379" s="4">
        <v>10</v>
      </c>
      <c r="C379" s="18" t="s">
        <v>15</v>
      </c>
      <c r="D379" s="68" t="s">
        <v>28</v>
      </c>
      <c r="E379" s="39" t="s">
        <v>104</v>
      </c>
      <c r="F379" s="10">
        <v>1</v>
      </c>
      <c r="G379" s="86"/>
    </row>
    <row r="380" spans="1:7" x14ac:dyDescent="0.25">
      <c r="A380" s="38">
        <v>11</v>
      </c>
      <c r="B380" s="4">
        <v>10</v>
      </c>
      <c r="C380" s="48" t="s">
        <v>15</v>
      </c>
      <c r="D380" s="67" t="s">
        <v>84</v>
      </c>
      <c r="E380" s="40" t="s">
        <v>104</v>
      </c>
      <c r="F380" s="10">
        <v>0.83</v>
      </c>
      <c r="G380" s="86"/>
    </row>
    <row r="381" spans="1:7" x14ac:dyDescent="0.25">
      <c r="A381" s="38">
        <v>11</v>
      </c>
      <c r="B381" s="4">
        <v>21</v>
      </c>
      <c r="C381" s="18" t="s">
        <v>15</v>
      </c>
      <c r="D381" s="68" t="s">
        <v>27</v>
      </c>
      <c r="E381" s="13" t="s">
        <v>99</v>
      </c>
      <c r="F381" s="10">
        <v>0.83</v>
      </c>
      <c r="G381" s="86"/>
    </row>
    <row r="382" spans="1:7" x14ac:dyDescent="0.25">
      <c r="A382" s="38">
        <v>11</v>
      </c>
      <c r="B382" s="4">
        <v>1</v>
      </c>
      <c r="C382" s="48" t="s">
        <v>15</v>
      </c>
      <c r="D382" s="67" t="s">
        <v>16</v>
      </c>
      <c r="E382" s="70" t="s">
        <v>117</v>
      </c>
      <c r="F382" s="10">
        <v>1</v>
      </c>
      <c r="G382" s="86"/>
    </row>
    <row r="383" spans="1:7" x14ac:dyDescent="0.25">
      <c r="A383" s="38">
        <v>11</v>
      </c>
      <c r="B383" s="4">
        <v>6</v>
      </c>
      <c r="C383" s="18" t="s">
        <v>15</v>
      </c>
      <c r="D383" s="68" t="s">
        <v>19</v>
      </c>
      <c r="E383" s="69" t="s">
        <v>117</v>
      </c>
      <c r="F383" s="10">
        <v>1</v>
      </c>
      <c r="G383" s="86"/>
    </row>
    <row r="384" spans="1:7" x14ac:dyDescent="0.25">
      <c r="A384" s="38">
        <v>11</v>
      </c>
      <c r="B384" s="4">
        <v>6</v>
      </c>
      <c r="C384" s="48" t="s">
        <v>15</v>
      </c>
      <c r="D384" s="67" t="s">
        <v>20</v>
      </c>
      <c r="E384" s="70" t="s">
        <v>117</v>
      </c>
      <c r="F384" s="10">
        <v>1</v>
      </c>
      <c r="G384" s="86"/>
    </row>
    <row r="385" spans="1:7" x14ac:dyDescent="0.25">
      <c r="A385" s="38">
        <v>11</v>
      </c>
      <c r="B385" s="4">
        <v>7</v>
      </c>
      <c r="C385" s="18" t="s">
        <v>15</v>
      </c>
      <c r="D385" s="68" t="s">
        <v>22</v>
      </c>
      <c r="E385" s="69" t="s">
        <v>117</v>
      </c>
      <c r="F385" s="10">
        <v>1</v>
      </c>
      <c r="G385" s="86"/>
    </row>
    <row r="386" spans="1:7" x14ac:dyDescent="0.25">
      <c r="A386" s="38">
        <v>11</v>
      </c>
      <c r="B386" s="4">
        <v>7</v>
      </c>
      <c r="C386" s="48" t="s">
        <v>15</v>
      </c>
      <c r="D386" s="67" t="s">
        <v>23</v>
      </c>
      <c r="E386" s="70" t="s">
        <v>117</v>
      </c>
      <c r="F386" s="10">
        <v>1</v>
      </c>
      <c r="G386" s="86"/>
    </row>
    <row r="387" spans="1:7" x14ac:dyDescent="0.25">
      <c r="A387" s="38">
        <v>11</v>
      </c>
      <c r="B387" s="4">
        <v>14</v>
      </c>
      <c r="C387" s="18" t="s">
        <v>15</v>
      </c>
      <c r="D387" s="68" t="s">
        <v>27</v>
      </c>
      <c r="E387" s="72" t="s">
        <v>117</v>
      </c>
      <c r="F387" s="10">
        <v>1</v>
      </c>
      <c r="G387" s="87"/>
    </row>
    <row r="388" spans="1:7" x14ac:dyDescent="0.25">
      <c r="A388" s="38">
        <v>11</v>
      </c>
      <c r="B388" s="4">
        <v>25</v>
      </c>
      <c r="C388" s="18" t="s">
        <v>25</v>
      </c>
      <c r="D388" s="68" t="s">
        <v>27</v>
      </c>
      <c r="E388" s="13" t="s">
        <v>93</v>
      </c>
      <c r="F388" s="10">
        <v>0.88</v>
      </c>
      <c r="G388" s="85">
        <v>87</v>
      </c>
    </row>
    <row r="389" spans="1:7" x14ac:dyDescent="0.25">
      <c r="A389" s="38">
        <v>11</v>
      </c>
      <c r="B389" s="4">
        <v>25</v>
      </c>
      <c r="C389" s="48" t="s">
        <v>25</v>
      </c>
      <c r="D389" s="67" t="s">
        <v>84</v>
      </c>
      <c r="E389" s="41" t="s">
        <v>93</v>
      </c>
      <c r="F389" s="10">
        <v>0.86</v>
      </c>
      <c r="G389" s="86"/>
    </row>
    <row r="390" spans="1:7" x14ac:dyDescent="0.25">
      <c r="A390" s="38">
        <v>11</v>
      </c>
      <c r="B390" s="4">
        <v>5</v>
      </c>
      <c r="C390" s="48" t="s">
        <v>25</v>
      </c>
      <c r="D390" s="67" t="s">
        <v>27</v>
      </c>
      <c r="E390" s="40" t="s">
        <v>96</v>
      </c>
      <c r="F390" s="10">
        <v>1</v>
      </c>
      <c r="G390" s="86"/>
    </row>
    <row r="391" spans="1:7" x14ac:dyDescent="0.25">
      <c r="A391" s="38">
        <v>11</v>
      </c>
      <c r="B391" s="4">
        <v>11</v>
      </c>
      <c r="C391" s="18" t="s">
        <v>25</v>
      </c>
      <c r="D391" s="7" t="s">
        <v>27</v>
      </c>
      <c r="E391" s="39" t="s">
        <v>111</v>
      </c>
      <c r="F391" s="10">
        <v>0.75</v>
      </c>
      <c r="G391" s="86"/>
    </row>
    <row r="392" spans="1:7" x14ac:dyDescent="0.25">
      <c r="A392" s="38">
        <v>11</v>
      </c>
      <c r="B392" s="4">
        <v>6</v>
      </c>
      <c r="C392" s="48" t="s">
        <v>25</v>
      </c>
      <c r="D392" s="67" t="s">
        <v>27</v>
      </c>
      <c r="E392" s="41" t="s">
        <v>110</v>
      </c>
      <c r="F392" s="10">
        <v>0.86</v>
      </c>
      <c r="G392" s="86"/>
    </row>
    <row r="393" spans="1:7" x14ac:dyDescent="0.25">
      <c r="A393" s="38">
        <v>11</v>
      </c>
      <c r="B393" s="4">
        <v>6</v>
      </c>
      <c r="C393" s="18" t="s">
        <v>25</v>
      </c>
      <c r="D393" s="68" t="s">
        <v>35</v>
      </c>
      <c r="E393" s="13" t="s">
        <v>110</v>
      </c>
      <c r="F393" s="10">
        <v>1</v>
      </c>
      <c r="G393" s="86"/>
    </row>
    <row r="394" spans="1:7" x14ac:dyDescent="0.25">
      <c r="A394" s="38">
        <v>11</v>
      </c>
      <c r="B394" s="4">
        <v>17</v>
      </c>
      <c r="C394" s="18" t="s">
        <v>25</v>
      </c>
      <c r="D394" s="68" t="s">
        <v>27</v>
      </c>
      <c r="E394" s="13" t="s">
        <v>113</v>
      </c>
      <c r="F394" s="10">
        <v>0.77</v>
      </c>
      <c r="G394" s="87"/>
    </row>
    <row r="395" spans="1:7" x14ac:dyDescent="0.25">
      <c r="A395" s="38">
        <v>11</v>
      </c>
      <c r="B395" s="4">
        <v>1</v>
      </c>
      <c r="C395" s="48" t="s">
        <v>45</v>
      </c>
      <c r="D395" s="67" t="s">
        <v>23</v>
      </c>
      <c r="E395" s="70" t="s">
        <v>115</v>
      </c>
      <c r="F395" s="43">
        <v>0.43</v>
      </c>
      <c r="G395" s="85">
        <v>62</v>
      </c>
    </row>
    <row r="396" spans="1:7" x14ac:dyDescent="0.25">
      <c r="A396" s="38">
        <v>11</v>
      </c>
      <c r="B396" s="4">
        <v>12</v>
      </c>
      <c r="C396" s="18" t="s">
        <v>45</v>
      </c>
      <c r="D396" s="68" t="s">
        <v>27</v>
      </c>
      <c r="E396" s="13" t="s">
        <v>98</v>
      </c>
      <c r="F396" s="10">
        <v>1</v>
      </c>
      <c r="G396" s="86"/>
    </row>
    <row r="397" spans="1:7" x14ac:dyDescent="0.25">
      <c r="A397" s="38">
        <v>11</v>
      </c>
      <c r="B397" s="4">
        <v>1</v>
      </c>
      <c r="C397" s="18" t="s">
        <v>45</v>
      </c>
      <c r="D397" s="68" t="s">
        <v>22</v>
      </c>
      <c r="E397" s="69" t="s">
        <v>115</v>
      </c>
      <c r="F397" s="43">
        <v>0.43</v>
      </c>
      <c r="G397" s="87"/>
    </row>
    <row r="398" spans="1:7" x14ac:dyDescent="0.25">
      <c r="A398" s="38">
        <v>11</v>
      </c>
      <c r="B398" s="4">
        <v>24</v>
      </c>
      <c r="C398" s="48" t="s">
        <v>63</v>
      </c>
      <c r="D398" s="67" t="s">
        <v>27</v>
      </c>
      <c r="E398" s="41" t="s">
        <v>108</v>
      </c>
      <c r="F398" s="10">
        <v>0.75</v>
      </c>
      <c r="G398" s="30">
        <v>75</v>
      </c>
    </row>
    <row r="399" spans="1:7" x14ac:dyDescent="0.25">
      <c r="A399" s="38">
        <v>11</v>
      </c>
      <c r="B399" s="4">
        <v>5</v>
      </c>
      <c r="C399" s="18" t="s">
        <v>119</v>
      </c>
      <c r="D399" s="68" t="s">
        <v>19</v>
      </c>
      <c r="E399" s="69" t="s">
        <v>115</v>
      </c>
      <c r="F399" s="10">
        <v>0.75</v>
      </c>
      <c r="G399" s="85">
        <v>78</v>
      </c>
    </row>
    <row r="400" spans="1:7" x14ac:dyDescent="0.25">
      <c r="A400" s="38">
        <v>11</v>
      </c>
      <c r="B400" s="4">
        <v>5</v>
      </c>
      <c r="C400" s="18" t="s">
        <v>119</v>
      </c>
      <c r="D400" s="67" t="s">
        <v>20</v>
      </c>
      <c r="E400" s="70" t="s">
        <v>115</v>
      </c>
      <c r="F400" s="10">
        <v>0.75</v>
      </c>
      <c r="G400" s="86"/>
    </row>
    <row r="401" spans="1:7" x14ac:dyDescent="0.25">
      <c r="A401" s="38">
        <v>11</v>
      </c>
      <c r="B401" s="4">
        <v>18</v>
      </c>
      <c r="C401" s="18" t="s">
        <v>119</v>
      </c>
      <c r="D401" s="67" t="s">
        <v>27</v>
      </c>
      <c r="E401" s="40" t="s">
        <v>101</v>
      </c>
      <c r="F401" s="10">
        <v>0.83</v>
      </c>
      <c r="G401" s="87"/>
    </row>
    <row r="402" spans="1:7" x14ac:dyDescent="0.25">
      <c r="A402" s="38">
        <v>12</v>
      </c>
      <c r="B402" s="4">
        <v>10</v>
      </c>
      <c r="C402" s="48" t="s">
        <v>18</v>
      </c>
      <c r="D402" s="67" t="s">
        <v>75</v>
      </c>
      <c r="E402" s="70" t="s">
        <v>116</v>
      </c>
      <c r="F402" s="10">
        <v>1</v>
      </c>
      <c r="G402" s="90">
        <v>100</v>
      </c>
    </row>
    <row r="403" spans="1:7" x14ac:dyDescent="0.25">
      <c r="A403" s="38">
        <v>12</v>
      </c>
      <c r="B403" s="4">
        <v>3</v>
      </c>
      <c r="C403" s="48" t="s">
        <v>18</v>
      </c>
      <c r="D403" s="67" t="s">
        <v>27</v>
      </c>
      <c r="E403" s="40" t="s">
        <v>103</v>
      </c>
      <c r="F403" s="10">
        <v>1</v>
      </c>
      <c r="G403" s="91"/>
    </row>
    <row r="404" spans="1:7" x14ac:dyDescent="0.25">
      <c r="A404" s="38">
        <v>12</v>
      </c>
      <c r="B404" s="4">
        <v>1</v>
      </c>
      <c r="C404" s="18" t="s">
        <v>25</v>
      </c>
      <c r="D404" s="68" t="s">
        <v>27</v>
      </c>
      <c r="E404" s="13" t="s">
        <v>105</v>
      </c>
      <c r="F404" s="10">
        <v>0.8</v>
      </c>
      <c r="G404" s="90">
        <v>93</v>
      </c>
    </row>
    <row r="405" spans="1:7" x14ac:dyDescent="0.25">
      <c r="A405" s="38">
        <v>12</v>
      </c>
      <c r="B405" s="4">
        <v>10</v>
      </c>
      <c r="C405" s="48" t="s">
        <v>25</v>
      </c>
      <c r="D405" s="67" t="s">
        <v>27</v>
      </c>
      <c r="E405" s="70" t="s">
        <v>115</v>
      </c>
      <c r="F405" s="10">
        <v>1</v>
      </c>
      <c r="G405" s="92"/>
    </row>
    <row r="406" spans="1:7" x14ac:dyDescent="0.25">
      <c r="A406" s="38">
        <v>12</v>
      </c>
      <c r="B406" s="4">
        <v>9</v>
      </c>
      <c r="C406" s="18" t="s">
        <v>25</v>
      </c>
      <c r="D406" s="68" t="s">
        <v>27</v>
      </c>
      <c r="E406" s="13" t="s">
        <v>89</v>
      </c>
      <c r="F406" s="10">
        <v>1</v>
      </c>
      <c r="G406" s="91"/>
    </row>
    <row r="407" spans="1:7" x14ac:dyDescent="0.25">
      <c r="A407" s="38">
        <v>12</v>
      </c>
      <c r="B407" s="4">
        <v>3</v>
      </c>
      <c r="C407" s="18" t="s">
        <v>45</v>
      </c>
      <c r="D407" s="68" t="s">
        <v>27</v>
      </c>
      <c r="E407" s="13" t="s">
        <v>114</v>
      </c>
      <c r="F407" s="10">
        <v>0.75</v>
      </c>
      <c r="G407" s="90">
        <v>87</v>
      </c>
    </row>
    <row r="408" spans="1:7" x14ac:dyDescent="0.25">
      <c r="A408" s="38">
        <v>12</v>
      </c>
      <c r="B408" s="17">
        <v>1</v>
      </c>
      <c r="C408" s="48" t="s">
        <v>45</v>
      </c>
      <c r="D408" s="71" t="s">
        <v>27</v>
      </c>
      <c r="E408" s="41" t="s">
        <v>112</v>
      </c>
      <c r="F408" s="10">
        <v>1</v>
      </c>
      <c r="G408" s="92"/>
    </row>
    <row r="409" spans="1:7" x14ac:dyDescent="0.25">
      <c r="A409" s="38">
        <v>12</v>
      </c>
      <c r="B409" s="4">
        <v>2</v>
      </c>
      <c r="C409" s="18" t="s">
        <v>45</v>
      </c>
      <c r="D409" s="68" t="s">
        <v>27</v>
      </c>
      <c r="E409" s="39" t="s">
        <v>107</v>
      </c>
      <c r="F409" s="10">
        <v>0.86</v>
      </c>
      <c r="G409" s="91"/>
    </row>
  </sheetData>
  <sortState xmlns:xlrd2="http://schemas.microsoft.com/office/spreadsheetml/2017/richdata2" ref="A2:G112">
    <sortCondition ref="C2:C14"/>
  </sortState>
  <mergeCells count="58">
    <mergeCell ref="G359:G364"/>
    <mergeCell ref="G366:G367"/>
    <mergeCell ref="G402:G403"/>
    <mergeCell ref="G404:G406"/>
    <mergeCell ref="G407:G409"/>
    <mergeCell ref="G368:G375"/>
    <mergeCell ref="G376:G377"/>
    <mergeCell ref="G378:G387"/>
    <mergeCell ref="G388:G394"/>
    <mergeCell ref="G395:G397"/>
    <mergeCell ref="G399:G401"/>
    <mergeCell ref="G322:G330"/>
    <mergeCell ref="G331:G337"/>
    <mergeCell ref="G338:G339"/>
    <mergeCell ref="G340:G345"/>
    <mergeCell ref="G346:G358"/>
    <mergeCell ref="G113:G117"/>
    <mergeCell ref="G118:G123"/>
    <mergeCell ref="G124:G131"/>
    <mergeCell ref="G132:G141"/>
    <mergeCell ref="G142:G147"/>
    <mergeCell ref="G39:G48"/>
    <mergeCell ref="G49:G50"/>
    <mergeCell ref="G51:G59"/>
    <mergeCell ref="G60:G70"/>
    <mergeCell ref="G71:G83"/>
    <mergeCell ref="G25:G29"/>
    <mergeCell ref="G30:G37"/>
    <mergeCell ref="G2:G6"/>
    <mergeCell ref="G7:G12"/>
    <mergeCell ref="G13:G17"/>
    <mergeCell ref="G18:G21"/>
    <mergeCell ref="G22:G24"/>
    <mergeCell ref="G85:G90"/>
    <mergeCell ref="G91:G97"/>
    <mergeCell ref="G98:G103"/>
    <mergeCell ref="G104:G106"/>
    <mergeCell ref="G108:G112"/>
    <mergeCell ref="G197:G198"/>
    <mergeCell ref="G148:G157"/>
    <mergeCell ref="G158:G165"/>
    <mergeCell ref="G166:G173"/>
    <mergeCell ref="G174:G187"/>
    <mergeCell ref="G188:G196"/>
    <mergeCell ref="G199:G208"/>
    <mergeCell ref="G209:G214"/>
    <mergeCell ref="G215:G216"/>
    <mergeCell ref="G217:G218"/>
    <mergeCell ref="G219:G222"/>
    <mergeCell ref="G280:G292"/>
    <mergeCell ref="G293:G301"/>
    <mergeCell ref="G302:G313"/>
    <mergeCell ref="G314:G321"/>
    <mergeCell ref="G223:G239"/>
    <mergeCell ref="G240:G248"/>
    <mergeCell ref="G249:G260"/>
    <mergeCell ref="G261:G275"/>
    <mergeCell ref="G276:G279"/>
  </mergeCells>
  <dataValidations count="2">
    <dataValidation type="list" allowBlank="1" showInputMessage="1" showErrorMessage="1" sqref="D2:D32 D34:D115 D131" xr:uid="{287E39D0-E8AC-4F9A-A898-B4BA7206FDF3}">
      <formula1>"ЭИ,ДЦ,ФПП,ФОП,ОБП,РПУ,ПА,Картирование,5С,СР,СМЕД,АО,ОЕЕ,МРП"</formula1>
    </dataValidation>
    <dataValidation type="list" allowBlank="1" showInputMessage="1" showErrorMessage="1" sqref="D116:D130 D132:D409" xr:uid="{7E7210BE-38FA-4FAC-8ACA-D66EF05D3DF1}">
      <formula1>"ФОП,ФПП,РПУ, ПА, ОБП, 5С, Картирование, ДЦ, ЭИЦ, СР, ОЕЕ, SMED, АО, Мет.реш.проблем"</formula1>
    </dataValidation>
  </dataValidations>
  <pageMargins left="0.7" right="0.7" top="0.75" bottom="0.75" header="0.3" footer="0.3"/>
  <pageSetup paperSize="9" orientation="portrait" horizontalDpi="30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0D448-892E-42B1-8184-B086BF367EAD}">
  <dimension ref="B1:O9"/>
  <sheetViews>
    <sheetView workbookViewId="0">
      <selection activeCell="T30" sqref="T30"/>
    </sheetView>
  </sheetViews>
  <sheetFormatPr defaultRowHeight="15" x14ac:dyDescent="0.25"/>
  <cols>
    <col min="2" max="2" width="18.85546875" customWidth="1"/>
    <col min="15" max="15" width="14.42578125" customWidth="1"/>
  </cols>
  <sheetData>
    <row r="1" spans="2:15" x14ac:dyDescent="0.25">
      <c r="B1" s="19" t="s">
        <v>40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55</v>
      </c>
    </row>
    <row r="2" spans="2:15" x14ac:dyDescent="0.25">
      <c r="B2" s="19" t="s">
        <v>50</v>
      </c>
      <c r="C2" s="19"/>
      <c r="D2" s="19"/>
      <c r="E2" s="19"/>
      <c r="F2" s="2">
        <v>100</v>
      </c>
      <c r="G2" s="2">
        <v>82</v>
      </c>
      <c r="H2" s="2">
        <v>75</v>
      </c>
      <c r="I2" s="2">
        <v>82</v>
      </c>
      <c r="J2" s="2">
        <v>81</v>
      </c>
      <c r="K2" s="2">
        <v>84</v>
      </c>
      <c r="L2" s="2">
        <v>84</v>
      </c>
      <c r="M2" s="2">
        <v>90</v>
      </c>
      <c r="N2" s="19"/>
      <c r="O2" s="2">
        <v>85</v>
      </c>
    </row>
    <row r="3" spans="2:15" x14ac:dyDescent="0.25">
      <c r="B3" s="19" t="s">
        <v>49</v>
      </c>
      <c r="C3" s="2">
        <v>88</v>
      </c>
      <c r="D3" s="2">
        <v>91</v>
      </c>
      <c r="E3" s="2">
        <v>83</v>
      </c>
      <c r="F3" s="2">
        <v>83</v>
      </c>
      <c r="G3" s="2">
        <v>81</v>
      </c>
      <c r="H3" s="2">
        <v>77</v>
      </c>
      <c r="I3" s="2">
        <v>84</v>
      </c>
      <c r="J3" s="2">
        <v>84</v>
      </c>
      <c r="K3" s="2">
        <v>84</v>
      </c>
      <c r="L3" s="2">
        <v>80</v>
      </c>
      <c r="M3" s="2">
        <v>86</v>
      </c>
      <c r="N3" s="2">
        <v>100</v>
      </c>
      <c r="O3" s="2">
        <v>85</v>
      </c>
    </row>
    <row r="4" spans="2:15" x14ac:dyDescent="0.25">
      <c r="B4" s="19" t="s">
        <v>51</v>
      </c>
      <c r="C4" s="2">
        <v>96</v>
      </c>
      <c r="D4" s="2">
        <v>88</v>
      </c>
      <c r="E4" s="2">
        <v>100</v>
      </c>
      <c r="F4" s="2">
        <v>85</v>
      </c>
      <c r="G4" s="2">
        <v>84</v>
      </c>
      <c r="H4" s="2">
        <v>76</v>
      </c>
      <c r="I4" s="2">
        <v>89</v>
      </c>
      <c r="J4" s="2">
        <v>74</v>
      </c>
      <c r="K4" s="2">
        <v>83</v>
      </c>
      <c r="L4" s="2">
        <v>92</v>
      </c>
      <c r="M4" s="2">
        <v>94</v>
      </c>
      <c r="N4" s="19"/>
      <c r="O4" s="2">
        <v>87</v>
      </c>
    </row>
    <row r="5" spans="2:15" x14ac:dyDescent="0.25">
      <c r="B5" s="19" t="s">
        <v>52</v>
      </c>
      <c r="C5" s="19"/>
      <c r="D5" s="2">
        <v>96</v>
      </c>
      <c r="E5" s="19"/>
      <c r="F5" s="2">
        <v>74</v>
      </c>
      <c r="G5" s="2"/>
      <c r="H5" s="2">
        <v>85</v>
      </c>
      <c r="I5" s="2">
        <v>89</v>
      </c>
      <c r="J5" s="2">
        <v>78</v>
      </c>
      <c r="K5" s="2">
        <v>75</v>
      </c>
      <c r="L5" s="2">
        <v>87</v>
      </c>
      <c r="M5" s="2">
        <v>87</v>
      </c>
      <c r="N5" s="2">
        <v>93</v>
      </c>
      <c r="O5" s="2">
        <v>85</v>
      </c>
    </row>
    <row r="6" spans="2:15" x14ac:dyDescent="0.25">
      <c r="B6" s="19" t="s">
        <v>53</v>
      </c>
      <c r="C6" s="19"/>
      <c r="D6" s="19"/>
      <c r="E6" s="2">
        <v>90</v>
      </c>
      <c r="F6" s="2">
        <v>87</v>
      </c>
      <c r="G6" s="2">
        <v>83</v>
      </c>
      <c r="H6" s="2">
        <v>96</v>
      </c>
      <c r="I6" s="2">
        <v>77</v>
      </c>
      <c r="J6" s="2">
        <v>81</v>
      </c>
      <c r="K6" s="2">
        <v>82</v>
      </c>
      <c r="L6" s="2">
        <v>79</v>
      </c>
      <c r="M6" s="73">
        <v>62</v>
      </c>
      <c r="N6" s="2">
        <v>87</v>
      </c>
      <c r="O6" s="2">
        <v>82</v>
      </c>
    </row>
    <row r="7" spans="2:15" x14ac:dyDescent="0.25">
      <c r="B7" s="19" t="s">
        <v>54</v>
      </c>
      <c r="C7" s="19"/>
      <c r="D7" s="19"/>
      <c r="E7" s="19"/>
      <c r="F7" s="2">
        <v>75</v>
      </c>
      <c r="G7" s="2">
        <v>75</v>
      </c>
      <c r="H7" s="19"/>
      <c r="I7" s="2">
        <v>85</v>
      </c>
      <c r="J7" s="2">
        <v>92</v>
      </c>
      <c r="K7" s="2">
        <v>85</v>
      </c>
      <c r="L7" s="73">
        <v>60</v>
      </c>
      <c r="M7" s="2">
        <v>75</v>
      </c>
      <c r="N7" s="19"/>
      <c r="O7" s="2">
        <v>78</v>
      </c>
    </row>
    <row r="8" spans="2:15" x14ac:dyDescent="0.25">
      <c r="B8" s="19" t="s">
        <v>120</v>
      </c>
      <c r="C8" s="19"/>
      <c r="D8" s="19"/>
      <c r="E8" s="19"/>
      <c r="F8" s="19"/>
      <c r="G8" s="19"/>
      <c r="H8" s="19"/>
      <c r="I8" s="19"/>
      <c r="J8" s="19"/>
      <c r="K8" s="19"/>
      <c r="L8" s="2">
        <v>100</v>
      </c>
      <c r="M8" s="2">
        <v>78</v>
      </c>
      <c r="N8" s="19"/>
      <c r="O8" s="2">
        <v>89</v>
      </c>
    </row>
    <row r="9" spans="2:15" x14ac:dyDescent="0.25">
      <c r="B9" s="19" t="s">
        <v>97</v>
      </c>
      <c r="C9" s="19"/>
      <c r="D9" s="19"/>
      <c r="E9" s="19"/>
      <c r="F9" s="19"/>
      <c r="G9" s="19"/>
      <c r="H9" s="19"/>
      <c r="I9" s="19"/>
      <c r="J9" s="2">
        <v>96</v>
      </c>
      <c r="K9" s="2">
        <v>96</v>
      </c>
      <c r="L9" s="2">
        <v>100</v>
      </c>
      <c r="M9" s="19"/>
      <c r="N9" s="19"/>
      <c r="O9" s="2">
        <v>97</v>
      </c>
    </row>
  </sheetData>
  <pageMargins left="0.70866141732283472" right="0.70866141732283472" top="0.74803149606299213" bottom="0.74803149606299213" header="0.31496062992125984" footer="0.31496062992125984"/>
  <pageSetup paperSize="9" scale="8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29AC4-3D03-45E3-A03A-7B5620DC50E5}">
  <dimension ref="A1:L411"/>
  <sheetViews>
    <sheetView workbookViewId="0">
      <selection activeCell="H7" sqref="H7"/>
    </sheetView>
  </sheetViews>
  <sheetFormatPr defaultRowHeight="15" x14ac:dyDescent="0.25"/>
  <cols>
    <col min="5" max="5" width="37" customWidth="1"/>
    <col min="6" max="6" width="27.28515625" customWidth="1"/>
    <col min="7" max="7" width="48.28515625" customWidth="1"/>
    <col min="8" max="8" width="15.85546875" customWidth="1"/>
    <col min="9" max="9" width="4.7109375" customWidth="1"/>
    <col min="10" max="10" width="24.42578125" customWidth="1"/>
    <col min="11" max="11" width="21.85546875" customWidth="1"/>
    <col min="12" max="12" width="12" customWidth="1"/>
  </cols>
  <sheetData>
    <row r="1" spans="1:12" x14ac:dyDescent="0.25">
      <c r="A1" s="74">
        <v>2</v>
      </c>
      <c r="B1" s="31">
        <v>2025</v>
      </c>
      <c r="C1" s="31">
        <v>1</v>
      </c>
      <c r="D1" s="11">
        <v>15</v>
      </c>
      <c r="E1" s="12" t="s">
        <v>18</v>
      </c>
      <c r="F1" s="12" t="s">
        <v>19</v>
      </c>
      <c r="G1" s="16" t="s">
        <v>17</v>
      </c>
      <c r="J1" s="94" t="s">
        <v>126</v>
      </c>
      <c r="K1" s="94"/>
    </row>
    <row r="2" spans="1:12" ht="30" x14ac:dyDescent="0.25">
      <c r="A2" s="74">
        <v>3</v>
      </c>
      <c r="B2" s="31">
        <v>2025</v>
      </c>
      <c r="C2" s="32">
        <v>1</v>
      </c>
      <c r="D2" s="11">
        <v>15</v>
      </c>
      <c r="E2" s="12" t="s">
        <v>18</v>
      </c>
      <c r="F2" s="12" t="s">
        <v>20</v>
      </c>
      <c r="G2" s="16" t="s">
        <v>17</v>
      </c>
      <c r="I2" s="19" t="s">
        <v>122</v>
      </c>
      <c r="J2" s="19" t="s">
        <v>40</v>
      </c>
      <c r="K2" s="19" t="s">
        <v>121</v>
      </c>
      <c r="L2" s="79" t="s">
        <v>123</v>
      </c>
    </row>
    <row r="3" spans="1:12" x14ac:dyDescent="0.25">
      <c r="A3" s="74">
        <v>5</v>
      </c>
      <c r="B3" s="31">
        <v>2025</v>
      </c>
      <c r="C3" s="32">
        <v>1</v>
      </c>
      <c r="D3" s="11">
        <v>20</v>
      </c>
      <c r="E3" s="12" t="s">
        <v>18</v>
      </c>
      <c r="F3" s="12" t="s">
        <v>22</v>
      </c>
      <c r="G3" s="16" t="s">
        <v>17</v>
      </c>
      <c r="I3" s="19">
        <v>1</v>
      </c>
      <c r="J3" s="77" t="s">
        <v>18</v>
      </c>
      <c r="K3" s="30">
        <v>90</v>
      </c>
      <c r="L3" s="19">
        <v>1</v>
      </c>
    </row>
    <row r="4" spans="1:12" x14ac:dyDescent="0.25">
      <c r="A4" s="74">
        <v>6</v>
      </c>
      <c r="B4" s="31">
        <v>2025</v>
      </c>
      <c r="C4" s="32">
        <v>1</v>
      </c>
      <c r="D4" s="11">
        <v>20</v>
      </c>
      <c r="E4" s="12" t="s">
        <v>18</v>
      </c>
      <c r="F4" s="12" t="s">
        <v>23</v>
      </c>
      <c r="G4" s="16" t="s">
        <v>17</v>
      </c>
      <c r="I4" s="19">
        <v>2</v>
      </c>
      <c r="J4" s="77" t="s">
        <v>58</v>
      </c>
      <c r="K4" s="30">
        <v>53</v>
      </c>
      <c r="L4" s="19">
        <v>5</v>
      </c>
    </row>
    <row r="5" spans="1:12" x14ac:dyDescent="0.25">
      <c r="A5" s="74">
        <v>11</v>
      </c>
      <c r="B5" s="31">
        <v>2025</v>
      </c>
      <c r="C5" s="32">
        <v>1</v>
      </c>
      <c r="D5" s="11">
        <v>31</v>
      </c>
      <c r="E5" s="12" t="s">
        <v>18</v>
      </c>
      <c r="F5" s="12" t="s">
        <v>16</v>
      </c>
      <c r="G5" s="16" t="s">
        <v>24</v>
      </c>
      <c r="I5" s="19">
        <v>3</v>
      </c>
      <c r="J5" s="78" t="s">
        <v>90</v>
      </c>
      <c r="K5" s="30">
        <v>8</v>
      </c>
      <c r="L5" s="19">
        <v>7</v>
      </c>
    </row>
    <row r="6" spans="1:12" x14ac:dyDescent="0.25">
      <c r="A6" s="74">
        <v>12</v>
      </c>
      <c r="B6" s="31">
        <v>2025</v>
      </c>
      <c r="C6" s="32">
        <v>2</v>
      </c>
      <c r="D6" s="11">
        <v>5</v>
      </c>
      <c r="E6" s="12" t="s">
        <v>18</v>
      </c>
      <c r="F6" s="12" t="s">
        <v>19</v>
      </c>
      <c r="G6" s="16" t="s">
        <v>24</v>
      </c>
      <c r="I6" s="19">
        <v>4</v>
      </c>
      <c r="J6" s="78" t="s">
        <v>15</v>
      </c>
      <c r="K6" s="30">
        <v>73</v>
      </c>
      <c r="L6" s="19">
        <v>4</v>
      </c>
    </row>
    <row r="7" spans="1:12" x14ac:dyDescent="0.25">
      <c r="A7" s="74">
        <v>13</v>
      </c>
      <c r="B7" s="31">
        <v>2025</v>
      </c>
      <c r="C7" s="32">
        <v>2</v>
      </c>
      <c r="D7" s="11">
        <v>5</v>
      </c>
      <c r="E7" s="12" t="s">
        <v>18</v>
      </c>
      <c r="F7" s="12" t="s">
        <v>20</v>
      </c>
      <c r="G7" s="16" t="s">
        <v>24</v>
      </c>
      <c r="I7" s="19">
        <v>5</v>
      </c>
      <c r="J7" s="78" t="s">
        <v>25</v>
      </c>
      <c r="K7" s="30">
        <v>78</v>
      </c>
      <c r="L7" s="19">
        <v>2</v>
      </c>
    </row>
    <row r="8" spans="1:12" x14ac:dyDescent="0.25">
      <c r="A8" s="74">
        <v>15</v>
      </c>
      <c r="B8" s="31">
        <v>2025</v>
      </c>
      <c r="C8" s="32">
        <v>2</v>
      </c>
      <c r="D8" s="11">
        <v>12</v>
      </c>
      <c r="E8" s="12" t="s">
        <v>18</v>
      </c>
      <c r="F8" s="12" t="s">
        <v>22</v>
      </c>
      <c r="G8" s="16" t="s">
        <v>24</v>
      </c>
      <c r="I8" s="19">
        <v>6</v>
      </c>
      <c r="J8" s="78" t="s">
        <v>45</v>
      </c>
      <c r="K8" s="30">
        <v>77</v>
      </c>
      <c r="L8" s="19">
        <v>3</v>
      </c>
    </row>
    <row r="9" spans="1:12" x14ac:dyDescent="0.25">
      <c r="A9" s="74">
        <v>16</v>
      </c>
      <c r="B9" s="31">
        <v>2025</v>
      </c>
      <c r="C9" s="32">
        <v>2</v>
      </c>
      <c r="D9" s="11">
        <v>12</v>
      </c>
      <c r="E9" s="12" t="s">
        <v>18</v>
      </c>
      <c r="F9" s="12" t="s">
        <v>23</v>
      </c>
      <c r="G9" s="16" t="s">
        <v>24</v>
      </c>
      <c r="I9" s="19">
        <v>7</v>
      </c>
      <c r="J9" s="78" t="s">
        <v>63</v>
      </c>
      <c r="K9" s="29">
        <v>26</v>
      </c>
      <c r="L9" s="19">
        <v>6</v>
      </c>
    </row>
    <row r="10" spans="1:12" x14ac:dyDescent="0.25">
      <c r="A10" s="74">
        <v>23</v>
      </c>
      <c r="B10" s="31">
        <v>2025</v>
      </c>
      <c r="C10" s="32">
        <v>2</v>
      </c>
      <c r="D10" s="11">
        <v>25</v>
      </c>
      <c r="E10" s="12" t="s">
        <v>18</v>
      </c>
      <c r="F10" s="12" t="s">
        <v>16</v>
      </c>
      <c r="G10" s="16" t="s">
        <v>30</v>
      </c>
      <c r="I10" s="19">
        <v>8</v>
      </c>
      <c r="J10" s="78" t="s">
        <v>119</v>
      </c>
      <c r="K10" s="29">
        <v>5</v>
      </c>
      <c r="L10" s="19">
        <v>8</v>
      </c>
    </row>
    <row r="11" spans="1:12" x14ac:dyDescent="0.25">
      <c r="A11" s="74">
        <v>26</v>
      </c>
      <c r="B11" s="31">
        <v>2025</v>
      </c>
      <c r="C11" s="33">
        <v>3</v>
      </c>
      <c r="D11" s="11">
        <v>14</v>
      </c>
      <c r="E11" s="12" t="s">
        <v>18</v>
      </c>
      <c r="F11" s="12" t="s">
        <v>16</v>
      </c>
      <c r="G11" s="13" t="s">
        <v>46</v>
      </c>
    </row>
    <row r="12" spans="1:12" x14ac:dyDescent="0.25">
      <c r="A12" s="74">
        <v>27</v>
      </c>
      <c r="B12" s="31">
        <v>2025</v>
      </c>
      <c r="C12" s="33">
        <v>3</v>
      </c>
      <c r="D12" s="11">
        <v>17</v>
      </c>
      <c r="E12" s="12" t="s">
        <v>18</v>
      </c>
      <c r="F12" s="12" t="s">
        <v>19</v>
      </c>
      <c r="G12" s="13" t="s">
        <v>46</v>
      </c>
    </row>
    <row r="13" spans="1:12" x14ac:dyDescent="0.25">
      <c r="A13" s="74">
        <v>28</v>
      </c>
      <c r="B13" s="31">
        <v>2025</v>
      </c>
      <c r="C13" s="33">
        <v>3</v>
      </c>
      <c r="D13" s="11">
        <v>17</v>
      </c>
      <c r="E13" s="12" t="s">
        <v>18</v>
      </c>
      <c r="F13" s="12" t="s">
        <v>23</v>
      </c>
      <c r="G13" s="13" t="s">
        <v>46</v>
      </c>
    </row>
    <row r="14" spans="1:12" x14ac:dyDescent="0.25">
      <c r="A14" s="74">
        <v>29</v>
      </c>
      <c r="B14" s="31">
        <v>2025</v>
      </c>
      <c r="C14" s="33">
        <v>3</v>
      </c>
      <c r="D14" s="11">
        <v>18</v>
      </c>
      <c r="E14" s="12" t="s">
        <v>18</v>
      </c>
      <c r="F14" s="12" t="s">
        <v>22</v>
      </c>
      <c r="G14" s="13" t="s">
        <v>30</v>
      </c>
    </row>
    <row r="15" spans="1:12" x14ac:dyDescent="0.25">
      <c r="A15" s="74">
        <v>30</v>
      </c>
      <c r="B15" s="31">
        <v>2025</v>
      </c>
      <c r="C15" s="33">
        <v>3</v>
      </c>
      <c r="D15" s="11">
        <v>18</v>
      </c>
      <c r="E15" s="12" t="s">
        <v>18</v>
      </c>
      <c r="F15" s="12" t="s">
        <v>23</v>
      </c>
      <c r="G15" s="13" t="s">
        <v>30</v>
      </c>
    </row>
    <row r="16" spans="1:12" x14ac:dyDescent="0.25">
      <c r="A16" s="74">
        <v>31</v>
      </c>
      <c r="B16" s="31">
        <v>2025</v>
      </c>
      <c r="C16" s="33">
        <v>3</v>
      </c>
      <c r="D16" s="11">
        <v>19</v>
      </c>
      <c r="E16" s="12" t="s">
        <v>18</v>
      </c>
      <c r="F16" s="12" t="s">
        <v>22</v>
      </c>
      <c r="G16" s="13" t="s">
        <v>46</v>
      </c>
    </row>
    <row r="17" spans="1:7" x14ac:dyDescent="0.25">
      <c r="A17" s="74">
        <v>32</v>
      </c>
      <c r="B17" s="31">
        <v>2025</v>
      </c>
      <c r="C17" s="33">
        <v>3</v>
      </c>
      <c r="D17" s="11">
        <v>19</v>
      </c>
      <c r="E17" s="12" t="s">
        <v>18</v>
      </c>
      <c r="F17" s="12" t="s">
        <v>23</v>
      </c>
      <c r="G17" s="13" t="s">
        <v>46</v>
      </c>
    </row>
    <row r="18" spans="1:7" x14ac:dyDescent="0.25">
      <c r="A18" s="74">
        <v>34</v>
      </c>
      <c r="B18" s="31">
        <v>2025</v>
      </c>
      <c r="C18" s="33">
        <v>3</v>
      </c>
      <c r="D18" s="11">
        <v>27</v>
      </c>
      <c r="E18" s="12" t="s">
        <v>18</v>
      </c>
      <c r="F18" s="12" t="s">
        <v>16</v>
      </c>
      <c r="G18" s="13" t="s">
        <v>48</v>
      </c>
    </row>
    <row r="19" spans="1:7" x14ac:dyDescent="0.25">
      <c r="A19" s="74">
        <v>38</v>
      </c>
      <c r="B19" s="31">
        <v>2025</v>
      </c>
      <c r="C19" s="33">
        <v>4</v>
      </c>
      <c r="D19" s="11">
        <v>1</v>
      </c>
      <c r="E19" s="12" t="s">
        <v>18</v>
      </c>
      <c r="F19" s="12" t="s">
        <v>16</v>
      </c>
      <c r="G19" s="13" t="s">
        <v>56</v>
      </c>
    </row>
    <row r="20" spans="1:7" x14ac:dyDescent="0.25">
      <c r="A20" s="74">
        <v>43</v>
      </c>
      <c r="B20" s="31">
        <v>2025</v>
      </c>
      <c r="C20" s="33">
        <v>4</v>
      </c>
      <c r="D20" s="11">
        <v>2</v>
      </c>
      <c r="E20" s="12" t="s">
        <v>18</v>
      </c>
      <c r="F20" s="12" t="s">
        <v>19</v>
      </c>
      <c r="G20" s="16" t="s">
        <v>56</v>
      </c>
    </row>
    <row r="21" spans="1:7" x14ac:dyDescent="0.25">
      <c r="A21" s="74">
        <v>44</v>
      </c>
      <c r="B21" s="31">
        <v>2025</v>
      </c>
      <c r="C21" s="33">
        <v>4</v>
      </c>
      <c r="D21" s="11">
        <v>2</v>
      </c>
      <c r="E21" s="12" t="s">
        <v>18</v>
      </c>
      <c r="F21" s="12" t="s">
        <v>20</v>
      </c>
      <c r="G21" s="16" t="s">
        <v>56</v>
      </c>
    </row>
    <row r="22" spans="1:7" x14ac:dyDescent="0.25">
      <c r="A22" s="74">
        <v>49</v>
      </c>
      <c r="B22" s="31">
        <v>2025</v>
      </c>
      <c r="C22" s="33">
        <v>4</v>
      </c>
      <c r="D22" s="11">
        <v>4</v>
      </c>
      <c r="E22" s="12" t="s">
        <v>18</v>
      </c>
      <c r="F22" s="12" t="s">
        <v>22</v>
      </c>
      <c r="G22" s="16" t="s">
        <v>56</v>
      </c>
    </row>
    <row r="23" spans="1:7" x14ac:dyDescent="0.25">
      <c r="A23" s="74">
        <v>50</v>
      </c>
      <c r="B23" s="31">
        <v>2025</v>
      </c>
      <c r="C23" s="33">
        <v>4</v>
      </c>
      <c r="D23" s="11">
        <v>4</v>
      </c>
      <c r="E23" s="12" t="s">
        <v>18</v>
      </c>
      <c r="F23" s="12" t="s">
        <v>23</v>
      </c>
      <c r="G23" s="13" t="s">
        <v>56</v>
      </c>
    </row>
    <row r="24" spans="1:7" x14ac:dyDescent="0.25">
      <c r="A24" s="74">
        <v>51</v>
      </c>
      <c r="B24" s="31">
        <v>2025</v>
      </c>
      <c r="C24" s="33">
        <v>4</v>
      </c>
      <c r="D24" s="11">
        <v>7</v>
      </c>
      <c r="E24" s="12" t="s">
        <v>18</v>
      </c>
      <c r="F24" s="12" t="s">
        <v>16</v>
      </c>
      <c r="G24" s="13" t="s">
        <v>57</v>
      </c>
    </row>
    <row r="25" spans="1:7" x14ac:dyDescent="0.25">
      <c r="A25" s="74">
        <v>52</v>
      </c>
      <c r="B25" s="31">
        <v>2025</v>
      </c>
      <c r="C25" s="33">
        <v>4</v>
      </c>
      <c r="D25" s="11">
        <v>8</v>
      </c>
      <c r="E25" s="12" t="s">
        <v>18</v>
      </c>
      <c r="F25" s="12" t="s">
        <v>19</v>
      </c>
      <c r="G25" s="13" t="s">
        <v>57</v>
      </c>
    </row>
    <row r="26" spans="1:7" x14ac:dyDescent="0.25">
      <c r="A26" s="74">
        <v>53</v>
      </c>
      <c r="B26" s="31">
        <v>2025</v>
      </c>
      <c r="C26" s="33">
        <v>4</v>
      </c>
      <c r="D26" s="11">
        <v>8</v>
      </c>
      <c r="E26" s="12" t="s">
        <v>18</v>
      </c>
      <c r="F26" s="12" t="s">
        <v>20</v>
      </c>
      <c r="G26" s="13" t="s">
        <v>57</v>
      </c>
    </row>
    <row r="27" spans="1:7" x14ac:dyDescent="0.25">
      <c r="A27" s="74">
        <v>81</v>
      </c>
      <c r="B27" s="31">
        <v>2025</v>
      </c>
      <c r="C27" s="33">
        <v>4</v>
      </c>
      <c r="D27" s="11">
        <v>22</v>
      </c>
      <c r="E27" s="12" t="s">
        <v>18</v>
      </c>
      <c r="F27" s="12" t="s">
        <v>27</v>
      </c>
      <c r="G27" s="13" t="s">
        <v>30</v>
      </c>
    </row>
    <row r="28" spans="1:7" x14ac:dyDescent="0.25">
      <c r="A28" s="74">
        <v>82</v>
      </c>
      <c r="B28" s="31">
        <v>2025</v>
      </c>
      <c r="C28" s="33">
        <v>4</v>
      </c>
      <c r="D28" s="11">
        <v>30</v>
      </c>
      <c r="E28" s="12" t="s">
        <v>18</v>
      </c>
      <c r="F28" s="12" t="s">
        <v>27</v>
      </c>
      <c r="G28" s="13" t="s">
        <v>46</v>
      </c>
    </row>
    <row r="29" spans="1:7" x14ac:dyDescent="0.25">
      <c r="A29" s="74">
        <v>86</v>
      </c>
      <c r="B29" s="31">
        <v>2025</v>
      </c>
      <c r="C29" s="33">
        <v>5</v>
      </c>
      <c r="D29" s="11">
        <v>13</v>
      </c>
      <c r="E29" s="12" t="s">
        <v>18</v>
      </c>
      <c r="F29" s="12" t="s">
        <v>16</v>
      </c>
      <c r="G29" s="13" t="s">
        <v>66</v>
      </c>
    </row>
    <row r="30" spans="1:7" x14ac:dyDescent="0.25">
      <c r="A30" s="74">
        <v>89</v>
      </c>
      <c r="B30" s="31">
        <v>2025</v>
      </c>
      <c r="C30" s="33">
        <v>5</v>
      </c>
      <c r="D30" s="11">
        <v>19</v>
      </c>
      <c r="E30" s="12" t="s">
        <v>18</v>
      </c>
      <c r="F30" s="12" t="s">
        <v>19</v>
      </c>
      <c r="G30" s="13" t="s">
        <v>66</v>
      </c>
    </row>
    <row r="31" spans="1:7" x14ac:dyDescent="0.25">
      <c r="A31" s="74">
        <v>90</v>
      </c>
      <c r="B31" s="31">
        <v>2025</v>
      </c>
      <c r="C31" s="33">
        <v>5</v>
      </c>
      <c r="D31" s="11">
        <v>19</v>
      </c>
      <c r="E31" s="12" t="s">
        <v>18</v>
      </c>
      <c r="F31" s="12" t="s">
        <v>20</v>
      </c>
      <c r="G31" s="13" t="s">
        <v>66</v>
      </c>
    </row>
    <row r="32" spans="1:7" x14ac:dyDescent="0.25">
      <c r="A32" s="74">
        <v>98</v>
      </c>
      <c r="B32" s="31">
        <v>2025</v>
      </c>
      <c r="C32" s="33">
        <v>5</v>
      </c>
      <c r="D32" s="11">
        <v>23</v>
      </c>
      <c r="E32" s="12" t="s">
        <v>18</v>
      </c>
      <c r="F32" s="12" t="s">
        <v>16</v>
      </c>
      <c r="G32" s="13" t="s">
        <v>69</v>
      </c>
    </row>
    <row r="33" spans="1:7" x14ac:dyDescent="0.25">
      <c r="A33" s="74">
        <v>106</v>
      </c>
      <c r="B33" s="31">
        <v>2025</v>
      </c>
      <c r="C33" s="33">
        <v>5</v>
      </c>
      <c r="D33" s="11">
        <v>27</v>
      </c>
      <c r="E33" s="12" t="s">
        <v>18</v>
      </c>
      <c r="F33" s="12" t="s">
        <v>27</v>
      </c>
      <c r="G33" s="13" t="s">
        <v>48</v>
      </c>
    </row>
    <row r="34" spans="1:7" x14ac:dyDescent="0.25">
      <c r="A34" s="74">
        <v>109</v>
      </c>
      <c r="B34" s="31">
        <v>2025</v>
      </c>
      <c r="C34" s="33">
        <v>5</v>
      </c>
      <c r="D34" s="11">
        <v>30</v>
      </c>
      <c r="E34" s="12" t="s">
        <v>18</v>
      </c>
      <c r="F34" s="12" t="s">
        <v>27</v>
      </c>
      <c r="G34" s="13" t="s">
        <v>57</v>
      </c>
    </row>
    <row r="35" spans="1:7" x14ac:dyDescent="0.25">
      <c r="A35" s="74">
        <v>114</v>
      </c>
      <c r="B35" s="31">
        <v>2025</v>
      </c>
      <c r="C35" s="33">
        <v>6</v>
      </c>
      <c r="D35" s="11">
        <v>4</v>
      </c>
      <c r="E35" s="12" t="s">
        <v>18</v>
      </c>
      <c r="F35" s="12" t="s">
        <v>27</v>
      </c>
      <c r="G35" s="13" t="s">
        <v>56</v>
      </c>
    </row>
    <row r="36" spans="1:7" x14ac:dyDescent="0.25">
      <c r="A36" s="74">
        <v>118</v>
      </c>
      <c r="B36" s="31">
        <v>2025</v>
      </c>
      <c r="C36" s="33">
        <v>6</v>
      </c>
      <c r="D36" s="11">
        <v>6</v>
      </c>
      <c r="E36" s="12" t="s">
        <v>18</v>
      </c>
      <c r="F36" s="12" t="s">
        <v>28</v>
      </c>
      <c r="G36" s="13" t="s">
        <v>48</v>
      </c>
    </row>
    <row r="37" spans="1:7" x14ac:dyDescent="0.25">
      <c r="A37" s="74">
        <v>119</v>
      </c>
      <c r="B37" s="31">
        <v>2025</v>
      </c>
      <c r="C37" s="33">
        <v>6</v>
      </c>
      <c r="D37" s="11">
        <v>6</v>
      </c>
      <c r="E37" s="12" t="s">
        <v>18</v>
      </c>
      <c r="F37" s="12" t="s">
        <v>35</v>
      </c>
      <c r="G37" s="16" t="s">
        <v>48</v>
      </c>
    </row>
    <row r="38" spans="1:7" x14ac:dyDescent="0.25">
      <c r="A38" s="74">
        <v>139</v>
      </c>
      <c r="B38" s="31">
        <v>2025</v>
      </c>
      <c r="C38" s="33">
        <v>6</v>
      </c>
      <c r="D38" s="11">
        <v>25</v>
      </c>
      <c r="E38" s="12" t="s">
        <v>18</v>
      </c>
      <c r="F38" s="12" t="s">
        <v>22</v>
      </c>
      <c r="G38" s="53" t="s">
        <v>74</v>
      </c>
    </row>
    <row r="39" spans="1:7" x14ac:dyDescent="0.25">
      <c r="A39" s="74">
        <v>140</v>
      </c>
      <c r="B39" s="31">
        <v>2025</v>
      </c>
      <c r="C39" s="33">
        <v>6</v>
      </c>
      <c r="D39" s="11">
        <v>25</v>
      </c>
      <c r="E39" s="12" t="s">
        <v>18</v>
      </c>
      <c r="F39" s="12" t="s">
        <v>23</v>
      </c>
      <c r="G39" s="53" t="s">
        <v>74</v>
      </c>
    </row>
    <row r="40" spans="1:7" x14ac:dyDescent="0.25">
      <c r="A40" s="74">
        <v>150</v>
      </c>
      <c r="B40" s="31">
        <v>2025</v>
      </c>
      <c r="C40" s="33">
        <v>7</v>
      </c>
      <c r="D40" s="11">
        <v>1</v>
      </c>
      <c r="E40" s="12" t="s">
        <v>18</v>
      </c>
      <c r="F40" s="12" t="s">
        <v>16</v>
      </c>
      <c r="G40" s="16" t="s">
        <v>78</v>
      </c>
    </row>
    <row r="41" spans="1:7" x14ac:dyDescent="0.25">
      <c r="A41" s="74">
        <v>163</v>
      </c>
      <c r="B41" s="31">
        <v>2025</v>
      </c>
      <c r="C41" s="33">
        <v>7</v>
      </c>
      <c r="D41" s="11">
        <v>8</v>
      </c>
      <c r="E41" s="12" t="s">
        <v>18</v>
      </c>
      <c r="F41" s="12" t="s">
        <v>16</v>
      </c>
      <c r="G41" s="13" t="s">
        <v>81</v>
      </c>
    </row>
    <row r="42" spans="1:7" x14ac:dyDescent="0.25">
      <c r="A42" s="74">
        <v>178</v>
      </c>
      <c r="B42" s="31">
        <v>2025</v>
      </c>
      <c r="C42" s="33">
        <v>7</v>
      </c>
      <c r="D42" s="11">
        <v>16</v>
      </c>
      <c r="E42" s="12" t="s">
        <v>18</v>
      </c>
      <c r="F42" s="12" t="s">
        <v>22</v>
      </c>
      <c r="G42" s="13" t="s">
        <v>83</v>
      </c>
    </row>
    <row r="43" spans="1:7" x14ac:dyDescent="0.25">
      <c r="A43" s="74">
        <v>179</v>
      </c>
      <c r="B43" s="31">
        <v>2025</v>
      </c>
      <c r="C43" s="33">
        <v>7</v>
      </c>
      <c r="D43" s="11">
        <v>16</v>
      </c>
      <c r="E43" s="12" t="s">
        <v>18</v>
      </c>
      <c r="F43" s="12" t="s">
        <v>23</v>
      </c>
      <c r="G43" s="16" t="s">
        <v>83</v>
      </c>
    </row>
    <row r="44" spans="1:7" x14ac:dyDescent="0.25">
      <c r="A44" s="74">
        <v>180</v>
      </c>
      <c r="B44" s="31">
        <v>2025</v>
      </c>
      <c r="C44" s="33">
        <v>7</v>
      </c>
      <c r="D44" s="11">
        <v>18</v>
      </c>
      <c r="E44" s="12" t="s">
        <v>18</v>
      </c>
      <c r="F44" s="12" t="s">
        <v>19</v>
      </c>
      <c r="G44" s="16" t="s">
        <v>83</v>
      </c>
    </row>
    <row r="45" spans="1:7" x14ac:dyDescent="0.25">
      <c r="A45" s="74">
        <v>181</v>
      </c>
      <c r="B45" s="31">
        <v>2025</v>
      </c>
      <c r="C45" s="33">
        <v>7</v>
      </c>
      <c r="D45" s="11">
        <v>18</v>
      </c>
      <c r="E45" s="12" t="s">
        <v>18</v>
      </c>
      <c r="F45" s="12" t="s">
        <v>20</v>
      </c>
      <c r="G45" s="13" t="s">
        <v>83</v>
      </c>
    </row>
    <row r="46" spans="1:7" x14ac:dyDescent="0.25">
      <c r="A46" s="74">
        <v>182</v>
      </c>
      <c r="B46" s="31">
        <v>2025</v>
      </c>
      <c r="C46" s="33">
        <v>7</v>
      </c>
      <c r="D46" s="11">
        <v>17</v>
      </c>
      <c r="E46" s="12" t="s">
        <v>18</v>
      </c>
      <c r="F46" s="12" t="s">
        <v>27</v>
      </c>
      <c r="G46" s="13" t="s">
        <v>74</v>
      </c>
    </row>
    <row r="47" spans="1:7" x14ac:dyDescent="0.25">
      <c r="A47" s="74">
        <v>196</v>
      </c>
      <c r="B47" s="31">
        <v>2025</v>
      </c>
      <c r="C47" s="33">
        <v>7</v>
      </c>
      <c r="D47" s="11">
        <v>29</v>
      </c>
      <c r="E47" s="12" t="s">
        <v>18</v>
      </c>
      <c r="F47" s="12" t="s">
        <v>19</v>
      </c>
      <c r="G47" s="13" t="s">
        <v>85</v>
      </c>
    </row>
    <row r="48" spans="1:7" x14ac:dyDescent="0.25">
      <c r="A48" s="74">
        <v>197</v>
      </c>
      <c r="B48" s="31">
        <v>2025</v>
      </c>
      <c r="C48" s="33">
        <v>7</v>
      </c>
      <c r="D48" s="11">
        <v>29</v>
      </c>
      <c r="E48" s="12" t="s">
        <v>18</v>
      </c>
      <c r="F48" s="12" t="s">
        <v>20</v>
      </c>
      <c r="G48" s="13" t="s">
        <v>85</v>
      </c>
    </row>
    <row r="49" spans="1:7" x14ac:dyDescent="0.25">
      <c r="A49" s="74">
        <v>198</v>
      </c>
      <c r="B49" s="31">
        <v>2025</v>
      </c>
      <c r="C49" s="33">
        <v>7</v>
      </c>
      <c r="D49" s="11">
        <v>30</v>
      </c>
      <c r="E49" s="12" t="s">
        <v>18</v>
      </c>
      <c r="F49" s="12" t="s">
        <v>84</v>
      </c>
      <c r="G49" s="53" t="s">
        <v>74</v>
      </c>
    </row>
    <row r="50" spans="1:7" x14ac:dyDescent="0.25">
      <c r="A50" s="74">
        <v>201</v>
      </c>
      <c r="B50" s="31">
        <v>2025</v>
      </c>
      <c r="C50" s="33">
        <v>8</v>
      </c>
      <c r="D50" s="11">
        <v>1</v>
      </c>
      <c r="E50" s="12" t="s">
        <v>18</v>
      </c>
      <c r="F50" s="12" t="s">
        <v>16</v>
      </c>
      <c r="G50" s="16" t="s">
        <v>86</v>
      </c>
    </row>
    <row r="51" spans="1:7" x14ac:dyDescent="0.25">
      <c r="A51" s="74">
        <v>202</v>
      </c>
      <c r="B51" s="31">
        <v>2025</v>
      </c>
      <c r="C51" s="33">
        <v>8</v>
      </c>
      <c r="D51" s="11">
        <v>5</v>
      </c>
      <c r="E51" s="12" t="s">
        <v>18</v>
      </c>
      <c r="F51" s="12" t="s">
        <v>19</v>
      </c>
      <c r="G51" s="13" t="s">
        <v>86</v>
      </c>
    </row>
    <row r="52" spans="1:7" x14ac:dyDescent="0.25">
      <c r="A52" s="74">
        <v>203</v>
      </c>
      <c r="B52" s="31">
        <v>2025</v>
      </c>
      <c r="C52" s="33">
        <v>8</v>
      </c>
      <c r="D52" s="11">
        <v>5</v>
      </c>
      <c r="E52" s="12" t="s">
        <v>18</v>
      </c>
      <c r="F52" s="12" t="s">
        <v>20</v>
      </c>
      <c r="G52" s="13" t="s">
        <v>86</v>
      </c>
    </row>
    <row r="53" spans="1:7" x14ac:dyDescent="0.25">
      <c r="A53" s="74">
        <v>204</v>
      </c>
      <c r="B53" s="31">
        <v>2025</v>
      </c>
      <c r="C53" s="33">
        <v>8</v>
      </c>
      <c r="D53" s="11">
        <v>13</v>
      </c>
      <c r="E53" s="12" t="s">
        <v>18</v>
      </c>
      <c r="F53" s="12" t="s">
        <v>22</v>
      </c>
      <c r="G53" s="13" t="s">
        <v>86</v>
      </c>
    </row>
    <row r="54" spans="1:7" x14ac:dyDescent="0.25">
      <c r="A54" s="74">
        <v>205</v>
      </c>
      <c r="B54" s="31">
        <v>2025</v>
      </c>
      <c r="C54" s="33">
        <v>8</v>
      </c>
      <c r="D54" s="11">
        <v>13</v>
      </c>
      <c r="E54" s="12" t="s">
        <v>18</v>
      </c>
      <c r="F54" s="12" t="s">
        <v>23</v>
      </c>
      <c r="G54" s="13" t="s">
        <v>86</v>
      </c>
    </row>
    <row r="55" spans="1:7" x14ac:dyDescent="0.25">
      <c r="A55" s="74">
        <v>231</v>
      </c>
      <c r="B55" s="31">
        <v>2025</v>
      </c>
      <c r="C55" s="33">
        <v>8</v>
      </c>
      <c r="D55" s="11">
        <v>14</v>
      </c>
      <c r="E55" s="12" t="s">
        <v>18</v>
      </c>
      <c r="F55" s="12" t="s">
        <v>27</v>
      </c>
      <c r="G55" s="13" t="s">
        <v>81</v>
      </c>
    </row>
    <row r="56" spans="1:7" x14ac:dyDescent="0.25">
      <c r="A56" s="74">
        <v>240</v>
      </c>
      <c r="B56" s="31">
        <v>2025</v>
      </c>
      <c r="C56" s="33">
        <v>8</v>
      </c>
      <c r="D56" s="11">
        <v>19</v>
      </c>
      <c r="E56" s="12" t="s">
        <v>18</v>
      </c>
      <c r="F56" s="12" t="s">
        <v>16</v>
      </c>
      <c r="G56" s="39" t="s">
        <v>94</v>
      </c>
    </row>
    <row r="57" spans="1:7" x14ac:dyDescent="0.25">
      <c r="A57" s="74">
        <v>241</v>
      </c>
      <c r="B57" s="31">
        <v>2025</v>
      </c>
      <c r="C57" s="33">
        <v>8</v>
      </c>
      <c r="D57" s="11">
        <v>26</v>
      </c>
      <c r="E57" s="12" t="s">
        <v>18</v>
      </c>
      <c r="F57" s="12" t="s">
        <v>19</v>
      </c>
      <c r="G57" s="39" t="s">
        <v>94</v>
      </c>
    </row>
    <row r="58" spans="1:7" x14ac:dyDescent="0.25">
      <c r="A58" s="74">
        <v>242</v>
      </c>
      <c r="B58" s="31">
        <v>2025</v>
      </c>
      <c r="C58" s="33">
        <v>8</v>
      </c>
      <c r="D58" s="11">
        <v>26</v>
      </c>
      <c r="E58" s="12" t="s">
        <v>18</v>
      </c>
      <c r="F58" s="12" t="s">
        <v>20</v>
      </c>
      <c r="G58" s="39" t="s">
        <v>94</v>
      </c>
    </row>
    <row r="59" spans="1:7" x14ac:dyDescent="0.25">
      <c r="A59" s="74">
        <v>243</v>
      </c>
      <c r="B59" s="31">
        <v>2025</v>
      </c>
      <c r="C59" s="33">
        <v>8</v>
      </c>
      <c r="D59" s="11">
        <v>27</v>
      </c>
      <c r="E59" s="12" t="s">
        <v>18</v>
      </c>
      <c r="F59" s="12" t="s">
        <v>16</v>
      </c>
      <c r="G59" s="13" t="s">
        <v>95</v>
      </c>
    </row>
    <row r="60" spans="1:7" x14ac:dyDescent="0.25">
      <c r="A60" s="74">
        <v>251</v>
      </c>
      <c r="B60" s="31">
        <v>2025</v>
      </c>
      <c r="C60" s="33">
        <v>9</v>
      </c>
      <c r="D60" s="11">
        <v>2</v>
      </c>
      <c r="E60" s="12" t="s">
        <v>18</v>
      </c>
      <c r="F60" s="12" t="s">
        <v>16</v>
      </c>
      <c r="G60" s="13" t="s">
        <v>98</v>
      </c>
    </row>
    <row r="61" spans="1:7" x14ac:dyDescent="0.25">
      <c r="A61" s="74">
        <v>254</v>
      </c>
      <c r="B61" s="31">
        <v>2025</v>
      </c>
      <c r="C61" s="33">
        <v>9</v>
      </c>
      <c r="D61" s="11">
        <v>4</v>
      </c>
      <c r="E61" s="12" t="s">
        <v>18</v>
      </c>
      <c r="F61" s="12" t="s">
        <v>22</v>
      </c>
      <c r="G61" s="39" t="s">
        <v>94</v>
      </c>
    </row>
    <row r="62" spans="1:7" x14ac:dyDescent="0.25">
      <c r="A62" s="74">
        <v>255</v>
      </c>
      <c r="B62" s="31">
        <v>2025</v>
      </c>
      <c r="C62" s="33">
        <v>9</v>
      </c>
      <c r="D62" s="11">
        <v>4</v>
      </c>
      <c r="E62" s="12" t="s">
        <v>18</v>
      </c>
      <c r="F62" s="12" t="s">
        <v>23</v>
      </c>
      <c r="G62" s="39" t="s">
        <v>94</v>
      </c>
    </row>
    <row r="63" spans="1:7" x14ac:dyDescent="0.25">
      <c r="A63" s="74">
        <v>264</v>
      </c>
      <c r="B63" s="31">
        <v>2025</v>
      </c>
      <c r="C63" s="33">
        <v>9</v>
      </c>
      <c r="D63" s="11">
        <v>5</v>
      </c>
      <c r="E63" s="12" t="s">
        <v>18</v>
      </c>
      <c r="F63" s="12" t="s">
        <v>19</v>
      </c>
      <c r="G63" s="13" t="s">
        <v>93</v>
      </c>
    </row>
    <row r="64" spans="1:7" x14ac:dyDescent="0.25">
      <c r="A64" s="74">
        <v>265</v>
      </c>
      <c r="B64" s="31">
        <v>2025</v>
      </c>
      <c r="C64" s="33">
        <v>9</v>
      </c>
      <c r="D64" s="11">
        <v>5</v>
      </c>
      <c r="E64" s="12" t="s">
        <v>18</v>
      </c>
      <c r="F64" s="12" t="s">
        <v>20</v>
      </c>
      <c r="G64" s="13" t="s">
        <v>93</v>
      </c>
    </row>
    <row r="65" spans="1:7" x14ac:dyDescent="0.25">
      <c r="A65" s="74">
        <v>272</v>
      </c>
      <c r="B65" s="31">
        <v>2025</v>
      </c>
      <c r="C65" s="33">
        <v>9</v>
      </c>
      <c r="D65" s="11">
        <v>8</v>
      </c>
      <c r="E65" s="12" t="s">
        <v>18</v>
      </c>
      <c r="F65" s="12" t="s">
        <v>16</v>
      </c>
      <c r="G65" s="39" t="s">
        <v>103</v>
      </c>
    </row>
    <row r="66" spans="1:7" x14ac:dyDescent="0.25">
      <c r="A66" s="74">
        <v>279</v>
      </c>
      <c r="B66" s="31">
        <v>2025</v>
      </c>
      <c r="C66" s="33">
        <v>9</v>
      </c>
      <c r="D66" s="11">
        <v>10</v>
      </c>
      <c r="E66" s="12" t="s">
        <v>18</v>
      </c>
      <c r="F66" s="12" t="s">
        <v>16</v>
      </c>
      <c r="G66" s="39" t="s">
        <v>104</v>
      </c>
    </row>
    <row r="67" spans="1:7" x14ac:dyDescent="0.25">
      <c r="A67" s="74">
        <v>287</v>
      </c>
      <c r="B67" s="31">
        <v>2025</v>
      </c>
      <c r="C67" s="33">
        <v>9</v>
      </c>
      <c r="D67" s="11">
        <v>24</v>
      </c>
      <c r="E67" s="12" t="s">
        <v>18</v>
      </c>
      <c r="F67" s="12" t="s">
        <v>27</v>
      </c>
      <c r="G67" s="13" t="s">
        <v>78</v>
      </c>
    </row>
    <row r="68" spans="1:7" x14ac:dyDescent="0.25">
      <c r="A68" s="74">
        <v>293</v>
      </c>
      <c r="B68" s="31">
        <v>2025</v>
      </c>
      <c r="C68" s="33">
        <v>9</v>
      </c>
      <c r="D68" s="11">
        <v>11</v>
      </c>
      <c r="E68" s="12" t="s">
        <v>18</v>
      </c>
      <c r="F68" s="12" t="s">
        <v>22</v>
      </c>
      <c r="G68" s="39" t="s">
        <v>101</v>
      </c>
    </row>
    <row r="69" spans="1:7" x14ac:dyDescent="0.25">
      <c r="A69" s="74">
        <v>294</v>
      </c>
      <c r="B69" s="31">
        <v>2025</v>
      </c>
      <c r="C69" s="33">
        <v>9</v>
      </c>
      <c r="D69" s="11">
        <v>11</v>
      </c>
      <c r="E69" s="12" t="s">
        <v>18</v>
      </c>
      <c r="F69" s="12" t="s">
        <v>23</v>
      </c>
      <c r="G69" s="39" t="s">
        <v>101</v>
      </c>
    </row>
    <row r="70" spans="1:7" x14ac:dyDescent="0.25">
      <c r="A70" s="74">
        <v>297</v>
      </c>
      <c r="B70" s="31">
        <v>2025</v>
      </c>
      <c r="C70" s="33">
        <v>9</v>
      </c>
      <c r="D70" s="11">
        <v>23</v>
      </c>
      <c r="E70" s="12" t="s">
        <v>18</v>
      </c>
      <c r="F70" s="12" t="s">
        <v>19</v>
      </c>
      <c r="G70" s="13" t="s">
        <v>105</v>
      </c>
    </row>
    <row r="71" spans="1:7" x14ac:dyDescent="0.25">
      <c r="A71" s="74">
        <v>298</v>
      </c>
      <c r="B71" s="31">
        <v>2025</v>
      </c>
      <c r="C71" s="33">
        <v>9</v>
      </c>
      <c r="D71" s="11">
        <v>23</v>
      </c>
      <c r="E71" s="12" t="s">
        <v>18</v>
      </c>
      <c r="F71" s="12" t="s">
        <v>20</v>
      </c>
      <c r="G71" s="13" t="s">
        <v>105</v>
      </c>
    </row>
    <row r="72" spans="1:7" x14ac:dyDescent="0.25">
      <c r="A72" s="74">
        <v>342</v>
      </c>
      <c r="B72" s="31">
        <v>2025</v>
      </c>
      <c r="C72" s="33">
        <v>10</v>
      </c>
      <c r="D72" s="11">
        <v>8</v>
      </c>
      <c r="E72" s="12" t="s">
        <v>18</v>
      </c>
      <c r="F72" s="12" t="s">
        <v>16</v>
      </c>
      <c r="G72" s="13" t="s">
        <v>112</v>
      </c>
    </row>
    <row r="73" spans="1:7" x14ac:dyDescent="0.25">
      <c r="A73" s="74">
        <v>355</v>
      </c>
      <c r="B73" s="31">
        <v>2025</v>
      </c>
      <c r="C73" s="33">
        <v>10</v>
      </c>
      <c r="D73" s="11">
        <v>15</v>
      </c>
      <c r="E73" s="12" t="s">
        <v>18</v>
      </c>
      <c r="F73" s="12" t="s">
        <v>22</v>
      </c>
      <c r="G73" s="13" t="s">
        <v>113</v>
      </c>
    </row>
    <row r="74" spans="1:7" x14ac:dyDescent="0.25">
      <c r="A74" s="74">
        <v>356</v>
      </c>
      <c r="B74" s="31">
        <v>2025</v>
      </c>
      <c r="C74" s="33">
        <v>10</v>
      </c>
      <c r="D74" s="11">
        <v>15</v>
      </c>
      <c r="E74" s="12" t="s">
        <v>18</v>
      </c>
      <c r="F74" s="12" t="s">
        <v>23</v>
      </c>
      <c r="G74" s="13" t="s">
        <v>113</v>
      </c>
    </row>
    <row r="75" spans="1:7" x14ac:dyDescent="0.25">
      <c r="A75" s="74">
        <v>363</v>
      </c>
      <c r="B75" s="31">
        <v>2025</v>
      </c>
      <c r="C75" s="33">
        <v>10</v>
      </c>
      <c r="D75" s="11">
        <v>28</v>
      </c>
      <c r="E75" s="12" t="s">
        <v>18</v>
      </c>
      <c r="F75" s="12" t="s">
        <v>16</v>
      </c>
      <c r="G75" s="69" t="s">
        <v>116</v>
      </c>
    </row>
    <row r="76" spans="1:7" x14ac:dyDescent="0.25">
      <c r="A76" s="74">
        <v>364</v>
      </c>
      <c r="B76" s="31">
        <v>2025</v>
      </c>
      <c r="C76" s="33">
        <v>10</v>
      </c>
      <c r="D76" s="11">
        <v>30</v>
      </c>
      <c r="E76" s="12" t="s">
        <v>18</v>
      </c>
      <c r="F76" s="12" t="s">
        <v>22</v>
      </c>
      <c r="G76" s="69" t="s">
        <v>116</v>
      </c>
    </row>
    <row r="77" spans="1:7" x14ac:dyDescent="0.25">
      <c r="A77" s="74">
        <v>365</v>
      </c>
      <c r="B77" s="31">
        <v>2025</v>
      </c>
      <c r="C77" s="33">
        <v>10</v>
      </c>
      <c r="D77" s="11">
        <v>30</v>
      </c>
      <c r="E77" s="12" t="s">
        <v>18</v>
      </c>
      <c r="F77" s="12" t="s">
        <v>23</v>
      </c>
      <c r="G77" s="69" t="s">
        <v>116</v>
      </c>
    </row>
    <row r="78" spans="1:7" x14ac:dyDescent="0.25">
      <c r="A78" s="74">
        <v>366</v>
      </c>
      <c r="B78" s="31">
        <v>2025</v>
      </c>
      <c r="C78" s="33">
        <v>10</v>
      </c>
      <c r="D78" s="11">
        <v>31</v>
      </c>
      <c r="E78" s="12" t="s">
        <v>18</v>
      </c>
      <c r="F78" s="12" t="s">
        <v>19</v>
      </c>
      <c r="G78" s="69" t="s">
        <v>116</v>
      </c>
    </row>
    <row r="79" spans="1:7" x14ac:dyDescent="0.25">
      <c r="A79" s="74">
        <v>367</v>
      </c>
      <c r="B79" s="31">
        <v>2025</v>
      </c>
      <c r="C79" s="33">
        <v>10</v>
      </c>
      <c r="D79" s="11">
        <v>31</v>
      </c>
      <c r="E79" s="12" t="s">
        <v>18</v>
      </c>
      <c r="F79" s="12" t="s">
        <v>20</v>
      </c>
      <c r="G79" s="69" t="s">
        <v>116</v>
      </c>
    </row>
    <row r="80" spans="1:7" x14ac:dyDescent="0.25">
      <c r="A80" s="74">
        <v>368</v>
      </c>
      <c r="B80" s="31">
        <v>2025</v>
      </c>
      <c r="C80" s="33">
        <v>10</v>
      </c>
      <c r="D80" s="11">
        <v>21</v>
      </c>
      <c r="E80" s="12" t="s">
        <v>18</v>
      </c>
      <c r="F80" s="12" t="s">
        <v>27</v>
      </c>
      <c r="G80" s="39" t="s">
        <v>94</v>
      </c>
    </row>
    <row r="81" spans="1:8" x14ac:dyDescent="0.25">
      <c r="A81" s="74">
        <v>374</v>
      </c>
      <c r="B81" s="31">
        <v>2025</v>
      </c>
      <c r="C81" s="33">
        <v>11</v>
      </c>
      <c r="D81" s="11">
        <v>6</v>
      </c>
      <c r="E81" s="18" t="s">
        <v>18</v>
      </c>
      <c r="F81" s="12" t="s">
        <v>75</v>
      </c>
      <c r="G81" s="39" t="s">
        <v>94</v>
      </c>
    </row>
    <row r="82" spans="1:8" x14ac:dyDescent="0.25">
      <c r="A82" s="74">
        <v>397</v>
      </c>
      <c r="B82" s="31">
        <v>2025</v>
      </c>
      <c r="C82" s="33">
        <v>11</v>
      </c>
      <c r="D82" s="11">
        <v>26</v>
      </c>
      <c r="E82" s="18" t="s">
        <v>18</v>
      </c>
      <c r="F82" s="12" t="s">
        <v>27</v>
      </c>
      <c r="G82" s="69" t="s">
        <v>116</v>
      </c>
    </row>
    <row r="83" spans="1:8" x14ac:dyDescent="0.25">
      <c r="A83" s="74">
        <v>398</v>
      </c>
      <c r="B83" s="31">
        <v>2025</v>
      </c>
      <c r="C83" s="33">
        <v>11</v>
      </c>
      <c r="D83" s="11">
        <v>1</v>
      </c>
      <c r="E83" s="12" t="s">
        <v>18</v>
      </c>
      <c r="F83" s="12" t="s">
        <v>16</v>
      </c>
      <c r="G83" s="69" t="s">
        <v>118</v>
      </c>
    </row>
    <row r="84" spans="1:8" x14ac:dyDescent="0.25">
      <c r="A84" s="74">
        <v>399</v>
      </c>
      <c r="B84" s="31">
        <v>2025</v>
      </c>
      <c r="C84" s="33">
        <v>11</v>
      </c>
      <c r="D84" s="11">
        <v>7</v>
      </c>
      <c r="E84" s="12" t="s">
        <v>18</v>
      </c>
      <c r="F84" s="12" t="s">
        <v>19</v>
      </c>
      <c r="G84" s="69" t="s">
        <v>118</v>
      </c>
    </row>
    <row r="85" spans="1:8" x14ac:dyDescent="0.25">
      <c r="A85" s="74">
        <v>400</v>
      </c>
      <c r="B85" s="31">
        <v>2025</v>
      </c>
      <c r="C85" s="33">
        <v>11</v>
      </c>
      <c r="D85" s="11">
        <v>7</v>
      </c>
      <c r="E85" s="12" t="s">
        <v>18</v>
      </c>
      <c r="F85" s="12" t="s">
        <v>20</v>
      </c>
      <c r="G85" s="69" t="s">
        <v>118</v>
      </c>
    </row>
    <row r="86" spans="1:8" x14ac:dyDescent="0.25">
      <c r="A86" s="74">
        <v>401</v>
      </c>
      <c r="B86" s="31">
        <v>2025</v>
      </c>
      <c r="C86" s="33">
        <v>11</v>
      </c>
      <c r="D86" s="11">
        <v>10</v>
      </c>
      <c r="E86" s="12" t="s">
        <v>18</v>
      </c>
      <c r="F86" s="12" t="s">
        <v>22</v>
      </c>
      <c r="G86" s="69" t="s">
        <v>118</v>
      </c>
    </row>
    <row r="87" spans="1:8" x14ac:dyDescent="0.25">
      <c r="A87" s="74">
        <v>402</v>
      </c>
      <c r="B87" s="31">
        <v>2025</v>
      </c>
      <c r="C87" s="33">
        <v>11</v>
      </c>
      <c r="D87" s="11">
        <v>10</v>
      </c>
      <c r="E87" s="12" t="s">
        <v>18</v>
      </c>
      <c r="F87" s="12" t="s">
        <v>23</v>
      </c>
      <c r="G87" s="69" t="s">
        <v>118</v>
      </c>
    </row>
    <row r="88" spans="1:8" x14ac:dyDescent="0.25">
      <c r="A88" s="74">
        <v>403</v>
      </c>
      <c r="B88" s="31">
        <v>2025</v>
      </c>
      <c r="C88" s="33">
        <v>11</v>
      </c>
      <c r="D88" s="11">
        <v>21</v>
      </c>
      <c r="E88" s="12" t="s">
        <v>18</v>
      </c>
      <c r="F88" s="12" t="s">
        <v>27</v>
      </c>
      <c r="G88" s="69" t="s">
        <v>118</v>
      </c>
    </row>
    <row r="89" spans="1:8" x14ac:dyDescent="0.25">
      <c r="A89" s="74">
        <v>405</v>
      </c>
      <c r="B89" s="31">
        <v>2025</v>
      </c>
      <c r="C89" s="33">
        <v>12</v>
      </c>
      <c r="D89" s="11">
        <v>10</v>
      </c>
      <c r="E89" s="12" t="s">
        <v>18</v>
      </c>
      <c r="F89" s="12" t="s">
        <v>75</v>
      </c>
      <c r="G89" s="69" t="s">
        <v>116</v>
      </c>
    </row>
    <row r="90" spans="1:8" x14ac:dyDescent="0.25">
      <c r="A90" s="74">
        <v>407</v>
      </c>
      <c r="B90" s="31">
        <v>2025</v>
      </c>
      <c r="C90" s="33">
        <v>12</v>
      </c>
      <c r="D90" s="11">
        <v>3</v>
      </c>
      <c r="E90" s="12" t="s">
        <v>18</v>
      </c>
      <c r="F90" s="12" t="s">
        <v>27</v>
      </c>
      <c r="G90" s="39" t="s">
        <v>103</v>
      </c>
      <c r="H90">
        <v>90</v>
      </c>
    </row>
    <row r="91" spans="1:8" x14ac:dyDescent="0.25">
      <c r="A91" s="74">
        <v>54</v>
      </c>
      <c r="B91" s="31">
        <v>2025</v>
      </c>
      <c r="C91" s="33">
        <v>4</v>
      </c>
      <c r="D91" s="11">
        <v>9</v>
      </c>
      <c r="E91" s="12" t="s">
        <v>58</v>
      </c>
      <c r="F91" s="12" t="s">
        <v>23</v>
      </c>
      <c r="G91" s="13" t="s">
        <v>59</v>
      </c>
    </row>
    <row r="92" spans="1:8" x14ac:dyDescent="0.25">
      <c r="A92" s="74">
        <v>57</v>
      </c>
      <c r="B92" s="31">
        <v>2025</v>
      </c>
      <c r="C92" s="33">
        <v>4</v>
      </c>
      <c r="D92" s="11">
        <v>11</v>
      </c>
      <c r="E92" s="12" t="s">
        <v>58</v>
      </c>
      <c r="F92" s="12" t="s">
        <v>36</v>
      </c>
      <c r="G92" s="13" t="s">
        <v>59</v>
      </c>
    </row>
    <row r="93" spans="1:8" x14ac:dyDescent="0.25">
      <c r="A93" s="74">
        <v>85</v>
      </c>
      <c r="B93" s="31">
        <v>2025</v>
      </c>
      <c r="C93" s="33">
        <v>5</v>
      </c>
      <c r="D93" s="11">
        <v>13</v>
      </c>
      <c r="E93" s="12" t="s">
        <v>58</v>
      </c>
      <c r="F93" s="12" t="s">
        <v>27</v>
      </c>
      <c r="G93" s="13" t="s">
        <v>59</v>
      </c>
    </row>
    <row r="94" spans="1:8" x14ac:dyDescent="0.25">
      <c r="A94" s="74">
        <v>87</v>
      </c>
      <c r="B94" s="31">
        <v>2025</v>
      </c>
      <c r="C94" s="33">
        <v>5</v>
      </c>
      <c r="D94" s="11">
        <v>15</v>
      </c>
      <c r="E94" s="12" t="s">
        <v>58</v>
      </c>
      <c r="F94" s="12" t="s">
        <v>16</v>
      </c>
      <c r="G94" s="13" t="s">
        <v>67</v>
      </c>
    </row>
    <row r="95" spans="1:8" x14ac:dyDescent="0.25">
      <c r="A95" s="74">
        <v>91</v>
      </c>
      <c r="B95" s="31">
        <v>2025</v>
      </c>
      <c r="C95" s="33">
        <v>5</v>
      </c>
      <c r="D95" s="11">
        <v>20</v>
      </c>
      <c r="E95" s="12" t="s">
        <v>58</v>
      </c>
      <c r="F95" s="12" t="s">
        <v>19</v>
      </c>
      <c r="G95" s="13" t="s">
        <v>67</v>
      </c>
    </row>
    <row r="96" spans="1:8" x14ac:dyDescent="0.25">
      <c r="A96" s="74">
        <v>92</v>
      </c>
      <c r="B96" s="31">
        <v>2025</v>
      </c>
      <c r="C96" s="33">
        <v>5</v>
      </c>
      <c r="D96" s="11">
        <v>20</v>
      </c>
      <c r="E96" s="12" t="s">
        <v>58</v>
      </c>
      <c r="F96" s="12" t="s">
        <v>20</v>
      </c>
      <c r="G96" s="13" t="s">
        <v>67</v>
      </c>
    </row>
    <row r="97" spans="1:7" x14ac:dyDescent="0.25">
      <c r="A97" s="74">
        <v>97</v>
      </c>
      <c r="B97" s="31">
        <v>2025</v>
      </c>
      <c r="C97" s="33">
        <v>5</v>
      </c>
      <c r="D97" s="11">
        <v>23</v>
      </c>
      <c r="E97" s="12" t="s">
        <v>58</v>
      </c>
      <c r="F97" s="12" t="s">
        <v>36</v>
      </c>
      <c r="G97" s="13" t="s">
        <v>46</v>
      </c>
    </row>
    <row r="98" spans="1:7" x14ac:dyDescent="0.25">
      <c r="A98" s="74">
        <v>101</v>
      </c>
      <c r="B98" s="31">
        <v>2025</v>
      </c>
      <c r="C98" s="33">
        <v>5</v>
      </c>
      <c r="D98" s="11">
        <v>22</v>
      </c>
      <c r="E98" s="12" t="s">
        <v>58</v>
      </c>
      <c r="F98" s="12" t="s">
        <v>22</v>
      </c>
      <c r="G98" s="13" t="s">
        <v>67</v>
      </c>
    </row>
    <row r="99" spans="1:7" x14ac:dyDescent="0.25">
      <c r="A99" s="74">
        <v>102</v>
      </c>
      <c r="B99" s="31">
        <v>2025</v>
      </c>
      <c r="C99" s="33">
        <v>5</v>
      </c>
      <c r="D99" s="11">
        <v>22</v>
      </c>
      <c r="E99" s="12" t="s">
        <v>58</v>
      </c>
      <c r="F99" s="12" t="s">
        <v>23</v>
      </c>
      <c r="G99" s="13" t="s">
        <v>67</v>
      </c>
    </row>
    <row r="100" spans="1:7" x14ac:dyDescent="0.25">
      <c r="A100" s="74">
        <v>142</v>
      </c>
      <c r="B100" s="31">
        <v>2025</v>
      </c>
      <c r="C100" s="33">
        <v>6</v>
      </c>
      <c r="D100" s="11">
        <v>26</v>
      </c>
      <c r="E100" s="12" t="s">
        <v>58</v>
      </c>
      <c r="F100" s="12" t="s">
        <v>75</v>
      </c>
      <c r="G100" s="13" t="s">
        <v>57</v>
      </c>
    </row>
    <row r="101" spans="1:7" x14ac:dyDescent="0.25">
      <c r="A101" s="74">
        <v>143</v>
      </c>
      <c r="B101" s="31">
        <v>2025</v>
      </c>
      <c r="C101" s="33">
        <v>6</v>
      </c>
      <c r="D101" s="11">
        <v>18</v>
      </c>
      <c r="E101" s="12" t="s">
        <v>58</v>
      </c>
      <c r="F101" s="12" t="s">
        <v>16</v>
      </c>
      <c r="G101" s="39" t="s">
        <v>74</v>
      </c>
    </row>
    <row r="102" spans="1:7" x14ac:dyDescent="0.25">
      <c r="A102" s="74">
        <v>144</v>
      </c>
      <c r="B102" s="31">
        <v>2025</v>
      </c>
      <c r="C102" s="33">
        <v>6</v>
      </c>
      <c r="D102" s="11">
        <v>20</v>
      </c>
      <c r="E102" s="12" t="s">
        <v>58</v>
      </c>
      <c r="F102" s="12" t="s">
        <v>19</v>
      </c>
      <c r="G102" s="39" t="s">
        <v>74</v>
      </c>
    </row>
    <row r="103" spans="1:7" x14ac:dyDescent="0.25">
      <c r="A103" s="74">
        <v>145</v>
      </c>
      <c r="B103" s="31">
        <v>2025</v>
      </c>
      <c r="C103" s="33">
        <v>6</v>
      </c>
      <c r="D103" s="11">
        <v>20</v>
      </c>
      <c r="E103" s="12" t="s">
        <v>58</v>
      </c>
      <c r="F103" s="12" t="s">
        <v>20</v>
      </c>
      <c r="G103" s="39" t="s">
        <v>74</v>
      </c>
    </row>
    <row r="104" spans="1:7" x14ac:dyDescent="0.25">
      <c r="A104" s="74">
        <v>146</v>
      </c>
      <c r="B104" s="31">
        <v>2025</v>
      </c>
      <c r="C104" s="33">
        <v>6</v>
      </c>
      <c r="D104" s="11">
        <v>16</v>
      </c>
      <c r="E104" s="12" t="s">
        <v>58</v>
      </c>
      <c r="F104" s="12" t="s">
        <v>27</v>
      </c>
      <c r="G104" s="13" t="s">
        <v>24</v>
      </c>
    </row>
    <row r="105" spans="1:7" x14ac:dyDescent="0.25">
      <c r="A105" s="74">
        <v>147</v>
      </c>
      <c r="B105" s="31">
        <v>2025</v>
      </c>
      <c r="C105" s="33">
        <v>6</v>
      </c>
      <c r="D105" s="11">
        <v>16</v>
      </c>
      <c r="E105" s="12" t="s">
        <v>58</v>
      </c>
      <c r="F105" s="12" t="s">
        <v>75</v>
      </c>
      <c r="G105" s="13" t="s">
        <v>24</v>
      </c>
    </row>
    <row r="106" spans="1:7" x14ac:dyDescent="0.25">
      <c r="A106" s="74">
        <v>157</v>
      </c>
      <c r="B106" s="31">
        <v>2025</v>
      </c>
      <c r="C106" s="33">
        <v>7</v>
      </c>
      <c r="D106" s="11">
        <v>3</v>
      </c>
      <c r="E106" s="12" t="s">
        <v>58</v>
      </c>
      <c r="F106" s="12" t="s">
        <v>19</v>
      </c>
      <c r="G106" s="13" t="s">
        <v>77</v>
      </c>
    </row>
    <row r="107" spans="1:7" x14ac:dyDescent="0.25">
      <c r="A107" s="74">
        <v>158</v>
      </c>
      <c r="B107" s="31">
        <v>2025</v>
      </c>
      <c r="C107" s="33">
        <v>7</v>
      </c>
      <c r="D107" s="11">
        <v>3</v>
      </c>
      <c r="E107" s="12" t="s">
        <v>58</v>
      </c>
      <c r="F107" s="12" t="s">
        <v>20</v>
      </c>
      <c r="G107" s="13" t="s">
        <v>77</v>
      </c>
    </row>
    <row r="108" spans="1:7" x14ac:dyDescent="0.25">
      <c r="A108" s="74">
        <v>160</v>
      </c>
      <c r="B108" s="31">
        <v>2025</v>
      </c>
      <c r="C108" s="33">
        <v>7</v>
      </c>
      <c r="D108" s="11">
        <v>4</v>
      </c>
      <c r="E108" s="12" t="s">
        <v>58</v>
      </c>
      <c r="F108" s="12" t="s">
        <v>22</v>
      </c>
      <c r="G108" s="13" t="s">
        <v>78</v>
      </c>
    </row>
    <row r="109" spans="1:7" x14ac:dyDescent="0.25">
      <c r="A109" s="74">
        <v>161</v>
      </c>
      <c r="B109" s="31">
        <v>2025</v>
      </c>
      <c r="C109" s="33">
        <v>7</v>
      </c>
      <c r="D109" s="11">
        <v>4</v>
      </c>
      <c r="E109" s="12" t="s">
        <v>58</v>
      </c>
      <c r="F109" s="12" t="s">
        <v>23</v>
      </c>
      <c r="G109" s="13" t="s">
        <v>78</v>
      </c>
    </row>
    <row r="110" spans="1:7" x14ac:dyDescent="0.25">
      <c r="A110" s="74">
        <v>173</v>
      </c>
      <c r="B110" s="31">
        <v>2025</v>
      </c>
      <c r="C110" s="33">
        <v>7</v>
      </c>
      <c r="D110" s="11">
        <v>10</v>
      </c>
      <c r="E110" s="12" t="s">
        <v>58</v>
      </c>
      <c r="F110" s="12" t="s">
        <v>22</v>
      </c>
      <c r="G110" s="13" t="s">
        <v>77</v>
      </c>
    </row>
    <row r="111" spans="1:7" x14ac:dyDescent="0.25">
      <c r="A111" s="74">
        <v>174</v>
      </c>
      <c r="B111" s="31">
        <v>2025</v>
      </c>
      <c r="C111" s="33">
        <v>7</v>
      </c>
      <c r="D111" s="11">
        <v>10</v>
      </c>
      <c r="E111" s="12" t="s">
        <v>58</v>
      </c>
      <c r="F111" s="12" t="s">
        <v>23</v>
      </c>
      <c r="G111" s="13" t="s">
        <v>77</v>
      </c>
    </row>
    <row r="112" spans="1:7" x14ac:dyDescent="0.25">
      <c r="A112" s="74">
        <v>176</v>
      </c>
      <c r="B112" s="31">
        <v>2025</v>
      </c>
      <c r="C112" s="33">
        <v>7</v>
      </c>
      <c r="D112" s="11">
        <v>11</v>
      </c>
      <c r="E112" s="12" t="s">
        <v>58</v>
      </c>
      <c r="F112" s="12" t="s">
        <v>22</v>
      </c>
      <c r="G112" s="13" t="s">
        <v>81</v>
      </c>
    </row>
    <row r="113" spans="1:7" x14ac:dyDescent="0.25">
      <c r="A113" s="74">
        <v>177</v>
      </c>
      <c r="B113" s="31">
        <v>2025</v>
      </c>
      <c r="C113" s="33">
        <v>7</v>
      </c>
      <c r="D113" s="11">
        <v>11</v>
      </c>
      <c r="E113" s="12" t="s">
        <v>58</v>
      </c>
      <c r="F113" s="12" t="s">
        <v>23</v>
      </c>
      <c r="G113" s="13" t="s">
        <v>81</v>
      </c>
    </row>
    <row r="114" spans="1:7" x14ac:dyDescent="0.25">
      <c r="A114" s="74">
        <v>206</v>
      </c>
      <c r="B114" s="31">
        <v>2025</v>
      </c>
      <c r="C114" s="33">
        <v>8</v>
      </c>
      <c r="D114" s="11">
        <v>1</v>
      </c>
      <c r="E114" s="12" t="s">
        <v>58</v>
      </c>
      <c r="F114" s="12" t="s">
        <v>16</v>
      </c>
      <c r="G114" s="16" t="s">
        <v>87</v>
      </c>
    </row>
    <row r="115" spans="1:7" x14ac:dyDescent="0.25">
      <c r="A115" s="74">
        <v>207</v>
      </c>
      <c r="B115" s="31">
        <v>2025</v>
      </c>
      <c r="C115" s="33">
        <v>8</v>
      </c>
      <c r="D115" s="11">
        <v>4</v>
      </c>
      <c r="E115" s="12" t="s">
        <v>58</v>
      </c>
      <c r="F115" s="12" t="s">
        <v>19</v>
      </c>
      <c r="G115" s="13" t="s">
        <v>87</v>
      </c>
    </row>
    <row r="116" spans="1:7" x14ac:dyDescent="0.25">
      <c r="A116" s="74">
        <v>208</v>
      </c>
      <c r="B116" s="31">
        <v>2025</v>
      </c>
      <c r="C116" s="33">
        <v>8</v>
      </c>
      <c r="D116" s="11">
        <v>4</v>
      </c>
      <c r="E116" s="12" t="s">
        <v>58</v>
      </c>
      <c r="F116" s="18" t="s">
        <v>20</v>
      </c>
      <c r="G116" s="13" t="s">
        <v>87</v>
      </c>
    </row>
    <row r="117" spans="1:7" x14ac:dyDescent="0.25">
      <c r="A117" s="74">
        <v>209</v>
      </c>
      <c r="B117" s="31">
        <v>2025</v>
      </c>
      <c r="C117" s="33">
        <v>8</v>
      </c>
      <c r="D117" s="11">
        <v>5</v>
      </c>
      <c r="E117" s="12" t="s">
        <v>58</v>
      </c>
      <c r="F117" s="18" t="s">
        <v>22</v>
      </c>
      <c r="G117" s="13" t="s">
        <v>87</v>
      </c>
    </row>
    <row r="118" spans="1:7" x14ac:dyDescent="0.25">
      <c r="A118" s="74">
        <v>210</v>
      </c>
      <c r="B118" s="31">
        <v>2025</v>
      </c>
      <c r="C118" s="33">
        <v>8</v>
      </c>
      <c r="D118" s="11">
        <v>5</v>
      </c>
      <c r="E118" s="12" t="s">
        <v>58</v>
      </c>
      <c r="F118" s="18" t="s">
        <v>23</v>
      </c>
      <c r="G118" s="13" t="s">
        <v>87</v>
      </c>
    </row>
    <row r="119" spans="1:7" x14ac:dyDescent="0.25">
      <c r="A119" s="74">
        <v>222</v>
      </c>
      <c r="B119" s="31">
        <v>2025</v>
      </c>
      <c r="C119" s="33">
        <v>8</v>
      </c>
      <c r="D119" s="11">
        <v>7</v>
      </c>
      <c r="E119" s="12" t="s">
        <v>58</v>
      </c>
      <c r="F119" s="18" t="s">
        <v>27</v>
      </c>
      <c r="G119" s="13" t="s">
        <v>67</v>
      </c>
    </row>
    <row r="120" spans="1:7" x14ac:dyDescent="0.25">
      <c r="A120" s="74">
        <v>260</v>
      </c>
      <c r="B120" s="31">
        <v>2025</v>
      </c>
      <c r="C120" s="33">
        <v>9</v>
      </c>
      <c r="D120" s="11">
        <v>4</v>
      </c>
      <c r="E120" s="12" t="s">
        <v>58</v>
      </c>
      <c r="F120" s="12" t="s">
        <v>19</v>
      </c>
      <c r="G120" s="39" t="s">
        <v>101</v>
      </c>
    </row>
    <row r="121" spans="1:7" x14ac:dyDescent="0.25">
      <c r="A121" s="74">
        <v>261</v>
      </c>
      <c r="B121" s="31">
        <v>2025</v>
      </c>
      <c r="C121" s="33">
        <v>9</v>
      </c>
      <c r="D121" s="11">
        <v>4</v>
      </c>
      <c r="E121" s="12" t="s">
        <v>58</v>
      </c>
      <c r="F121" s="12" t="s">
        <v>20</v>
      </c>
      <c r="G121" s="39" t="s">
        <v>101</v>
      </c>
    </row>
    <row r="122" spans="1:7" x14ac:dyDescent="0.25">
      <c r="A122" s="74">
        <v>266</v>
      </c>
      <c r="B122" s="31">
        <v>2025</v>
      </c>
      <c r="C122" s="33">
        <v>9</v>
      </c>
      <c r="D122" s="11">
        <v>5</v>
      </c>
      <c r="E122" s="12" t="s">
        <v>58</v>
      </c>
      <c r="F122" s="12" t="s">
        <v>16</v>
      </c>
      <c r="G122" s="13" t="s">
        <v>102</v>
      </c>
    </row>
    <row r="123" spans="1:7" x14ac:dyDescent="0.25">
      <c r="A123" s="74">
        <v>271</v>
      </c>
      <c r="B123" s="31">
        <v>2025</v>
      </c>
      <c r="C123" s="33">
        <v>9</v>
      </c>
      <c r="D123" s="11">
        <v>8</v>
      </c>
      <c r="E123" s="12" t="s">
        <v>58</v>
      </c>
      <c r="F123" s="18" t="s">
        <v>75</v>
      </c>
      <c r="G123" s="13" t="s">
        <v>87</v>
      </c>
    </row>
    <row r="124" spans="1:7" x14ac:dyDescent="0.25">
      <c r="A124" s="74">
        <v>277</v>
      </c>
      <c r="B124" s="31">
        <v>2025</v>
      </c>
      <c r="C124" s="33">
        <v>9</v>
      </c>
      <c r="D124" s="11">
        <v>9</v>
      </c>
      <c r="E124" s="18" t="s">
        <v>58</v>
      </c>
      <c r="F124" s="18" t="s">
        <v>22</v>
      </c>
      <c r="G124" s="13" t="s">
        <v>98</v>
      </c>
    </row>
    <row r="125" spans="1:7" x14ac:dyDescent="0.25">
      <c r="A125" s="74">
        <v>278</v>
      </c>
      <c r="B125" s="31">
        <v>2025</v>
      </c>
      <c r="C125" s="33">
        <v>9</v>
      </c>
      <c r="D125" s="11">
        <v>9</v>
      </c>
      <c r="E125" s="18" t="s">
        <v>58</v>
      </c>
      <c r="F125" s="18" t="s">
        <v>23</v>
      </c>
      <c r="G125" s="13" t="s">
        <v>98</v>
      </c>
    </row>
    <row r="126" spans="1:7" x14ac:dyDescent="0.25">
      <c r="A126" s="74">
        <v>280</v>
      </c>
      <c r="B126" s="31">
        <v>2025</v>
      </c>
      <c r="C126" s="33">
        <v>9</v>
      </c>
      <c r="D126" s="11">
        <v>10</v>
      </c>
      <c r="E126" s="18" t="s">
        <v>58</v>
      </c>
      <c r="F126" s="18" t="s">
        <v>19</v>
      </c>
      <c r="G126" s="39" t="s">
        <v>103</v>
      </c>
    </row>
    <row r="127" spans="1:7" x14ac:dyDescent="0.25">
      <c r="A127" s="74">
        <v>281</v>
      </c>
      <c r="B127" s="31">
        <v>2025</v>
      </c>
      <c r="C127" s="33">
        <v>9</v>
      </c>
      <c r="D127" s="11">
        <v>10</v>
      </c>
      <c r="E127" s="18" t="s">
        <v>58</v>
      </c>
      <c r="F127" s="18" t="s">
        <v>20</v>
      </c>
      <c r="G127" s="39" t="s">
        <v>103</v>
      </c>
    </row>
    <row r="128" spans="1:7" x14ac:dyDescent="0.25">
      <c r="A128" s="74">
        <v>290</v>
      </c>
      <c r="B128" s="31">
        <v>2025</v>
      </c>
      <c r="C128" s="33">
        <v>9</v>
      </c>
      <c r="D128" s="11">
        <v>16</v>
      </c>
      <c r="E128" s="18" t="s">
        <v>58</v>
      </c>
      <c r="F128" s="18" t="s">
        <v>19</v>
      </c>
      <c r="G128" s="39" t="s">
        <v>100</v>
      </c>
    </row>
    <row r="129" spans="1:8" x14ac:dyDescent="0.25">
      <c r="A129" s="74">
        <v>291</v>
      </c>
      <c r="B129" s="31">
        <v>2025</v>
      </c>
      <c r="C129" s="33">
        <v>9</v>
      </c>
      <c r="D129" s="11">
        <v>16</v>
      </c>
      <c r="E129" s="18" t="s">
        <v>58</v>
      </c>
      <c r="F129" s="18" t="s">
        <v>20</v>
      </c>
      <c r="G129" s="39" t="s">
        <v>100</v>
      </c>
    </row>
    <row r="130" spans="1:8" x14ac:dyDescent="0.25">
      <c r="A130" s="74">
        <v>299</v>
      </c>
      <c r="B130" s="31">
        <v>2025</v>
      </c>
      <c r="C130" s="33">
        <v>9</v>
      </c>
      <c r="D130" s="11">
        <v>11</v>
      </c>
      <c r="E130" s="18" t="s">
        <v>58</v>
      </c>
      <c r="F130" s="18" t="s">
        <v>19</v>
      </c>
      <c r="G130" s="13" t="s">
        <v>102</v>
      </c>
    </row>
    <row r="131" spans="1:8" x14ac:dyDescent="0.25">
      <c r="A131" s="74">
        <v>300</v>
      </c>
      <c r="B131" s="31">
        <v>2025</v>
      </c>
      <c r="C131" s="33">
        <v>9</v>
      </c>
      <c r="D131" s="11">
        <v>11</v>
      </c>
      <c r="E131" s="12" t="s">
        <v>58</v>
      </c>
      <c r="F131" s="12" t="s">
        <v>20</v>
      </c>
      <c r="G131" s="13" t="s">
        <v>102</v>
      </c>
    </row>
    <row r="132" spans="1:8" x14ac:dyDescent="0.25">
      <c r="A132" s="74">
        <v>301</v>
      </c>
      <c r="B132" s="31">
        <v>2025</v>
      </c>
      <c r="C132" s="33">
        <v>9</v>
      </c>
      <c r="D132" s="11">
        <v>23</v>
      </c>
      <c r="E132" s="18" t="s">
        <v>58</v>
      </c>
      <c r="F132" s="18" t="s">
        <v>22</v>
      </c>
      <c r="G132" s="13" t="s">
        <v>102</v>
      </c>
    </row>
    <row r="133" spans="1:8" x14ac:dyDescent="0.25">
      <c r="A133" s="74">
        <v>302</v>
      </c>
      <c r="B133" s="31">
        <v>2025</v>
      </c>
      <c r="C133" s="33">
        <v>9</v>
      </c>
      <c r="D133" s="11">
        <v>23</v>
      </c>
      <c r="E133" s="18" t="s">
        <v>58</v>
      </c>
      <c r="F133" s="18" t="s">
        <v>23</v>
      </c>
      <c r="G133" s="13" t="s">
        <v>102</v>
      </c>
    </row>
    <row r="134" spans="1:8" x14ac:dyDescent="0.25">
      <c r="A134" s="74">
        <v>323</v>
      </c>
      <c r="B134" s="31">
        <v>2025</v>
      </c>
      <c r="C134" s="33">
        <v>9</v>
      </c>
      <c r="D134" s="11">
        <v>25</v>
      </c>
      <c r="E134" s="18" t="s">
        <v>58</v>
      </c>
      <c r="F134" s="18" t="s">
        <v>27</v>
      </c>
      <c r="G134" s="13" t="s">
        <v>87</v>
      </c>
    </row>
    <row r="135" spans="1:8" x14ac:dyDescent="0.25">
      <c r="A135" s="74">
        <v>330</v>
      </c>
      <c r="B135" s="31">
        <v>2025</v>
      </c>
      <c r="C135" s="33">
        <v>10</v>
      </c>
      <c r="D135" s="11">
        <v>21</v>
      </c>
      <c r="E135" s="18" t="s">
        <v>58</v>
      </c>
      <c r="F135" s="18" t="s">
        <v>27</v>
      </c>
      <c r="G135" s="13" t="s">
        <v>109</v>
      </c>
    </row>
    <row r="136" spans="1:8" x14ac:dyDescent="0.25">
      <c r="A136" s="74">
        <v>343</v>
      </c>
      <c r="B136" s="31">
        <v>2025</v>
      </c>
      <c r="C136" s="33">
        <v>10</v>
      </c>
      <c r="D136" s="11">
        <v>16</v>
      </c>
      <c r="E136" s="18" t="s">
        <v>58</v>
      </c>
      <c r="F136" s="18" t="s">
        <v>19</v>
      </c>
      <c r="G136" s="13" t="s">
        <v>112</v>
      </c>
    </row>
    <row r="137" spans="1:8" x14ac:dyDescent="0.25">
      <c r="A137" s="74">
        <v>344</v>
      </c>
      <c r="B137" s="31">
        <v>2025</v>
      </c>
      <c r="C137" s="33">
        <v>10</v>
      </c>
      <c r="D137" s="11">
        <v>16</v>
      </c>
      <c r="E137" s="18" t="s">
        <v>58</v>
      </c>
      <c r="F137" s="18" t="s">
        <v>20</v>
      </c>
      <c r="G137" s="13" t="s">
        <v>112</v>
      </c>
    </row>
    <row r="138" spans="1:8" x14ac:dyDescent="0.25">
      <c r="A138" s="74">
        <v>345</v>
      </c>
      <c r="B138" s="31">
        <v>2025</v>
      </c>
      <c r="C138" s="33">
        <v>10</v>
      </c>
      <c r="D138" s="11">
        <v>3</v>
      </c>
      <c r="E138" s="18" t="s">
        <v>58</v>
      </c>
      <c r="F138" s="18" t="s">
        <v>22</v>
      </c>
      <c r="G138" s="13" t="s">
        <v>112</v>
      </c>
    </row>
    <row r="139" spans="1:8" x14ac:dyDescent="0.25">
      <c r="A139" s="74">
        <v>346</v>
      </c>
      <c r="B139" s="31">
        <v>2025</v>
      </c>
      <c r="C139" s="33">
        <v>10</v>
      </c>
      <c r="D139" s="11">
        <v>3</v>
      </c>
      <c r="E139" s="18" t="s">
        <v>58</v>
      </c>
      <c r="F139" s="18" t="s">
        <v>23</v>
      </c>
      <c r="G139" s="13" t="s">
        <v>112</v>
      </c>
    </row>
    <row r="140" spans="1:8" x14ac:dyDescent="0.25">
      <c r="A140" s="74">
        <v>358</v>
      </c>
      <c r="B140" s="31">
        <v>2025</v>
      </c>
      <c r="C140" s="33">
        <v>10</v>
      </c>
      <c r="D140" s="11">
        <v>13</v>
      </c>
      <c r="E140" s="12" t="s">
        <v>58</v>
      </c>
      <c r="F140" s="12" t="s">
        <v>19</v>
      </c>
      <c r="G140" s="13" t="s">
        <v>114</v>
      </c>
    </row>
    <row r="141" spans="1:8" x14ac:dyDescent="0.25">
      <c r="A141" s="74">
        <v>359</v>
      </c>
      <c r="B141" s="31">
        <v>2025</v>
      </c>
      <c r="C141" s="33">
        <v>10</v>
      </c>
      <c r="D141" s="11">
        <v>13</v>
      </c>
      <c r="E141" s="18" t="s">
        <v>58</v>
      </c>
      <c r="F141" s="18" t="s">
        <v>20</v>
      </c>
      <c r="G141" s="13" t="s">
        <v>114</v>
      </c>
    </row>
    <row r="142" spans="1:8" x14ac:dyDescent="0.25">
      <c r="A142" s="74">
        <v>387</v>
      </c>
      <c r="B142" s="31">
        <v>2025</v>
      </c>
      <c r="C142" s="33">
        <v>11</v>
      </c>
      <c r="D142" s="11">
        <v>6</v>
      </c>
      <c r="E142" s="18" t="s">
        <v>58</v>
      </c>
      <c r="F142" s="18" t="s">
        <v>75</v>
      </c>
      <c r="G142" s="13" t="s">
        <v>102</v>
      </c>
    </row>
    <row r="143" spans="1:8" x14ac:dyDescent="0.25">
      <c r="A143" s="74">
        <v>388</v>
      </c>
      <c r="B143" s="31">
        <v>2025</v>
      </c>
      <c r="C143" s="33">
        <v>11</v>
      </c>
      <c r="D143" s="11">
        <v>12</v>
      </c>
      <c r="E143" s="18" t="s">
        <v>58</v>
      </c>
      <c r="F143" s="18" t="s">
        <v>27</v>
      </c>
      <c r="G143" s="13" t="s">
        <v>102</v>
      </c>
      <c r="H143">
        <v>53</v>
      </c>
    </row>
    <row r="144" spans="1:8" x14ac:dyDescent="0.25">
      <c r="A144" s="74">
        <v>219</v>
      </c>
      <c r="B144" s="31">
        <v>2025</v>
      </c>
      <c r="C144" s="33">
        <v>8</v>
      </c>
      <c r="D144" s="11">
        <v>7</v>
      </c>
      <c r="E144" s="18" t="s">
        <v>90</v>
      </c>
      <c r="F144" s="18" t="s">
        <v>19</v>
      </c>
      <c r="G144" s="13" t="s">
        <v>89</v>
      </c>
    </row>
    <row r="145" spans="1:8" x14ac:dyDescent="0.25">
      <c r="A145" s="74">
        <v>220</v>
      </c>
      <c r="B145" s="31">
        <v>2025</v>
      </c>
      <c r="C145" s="33">
        <v>8</v>
      </c>
      <c r="D145" s="11">
        <v>7</v>
      </c>
      <c r="E145" s="18" t="s">
        <v>90</v>
      </c>
      <c r="F145" s="18" t="s">
        <v>20</v>
      </c>
      <c r="G145" s="13" t="s">
        <v>89</v>
      </c>
    </row>
    <row r="146" spans="1:8" x14ac:dyDescent="0.25">
      <c r="A146" s="74">
        <v>262</v>
      </c>
      <c r="B146" s="31">
        <v>2025</v>
      </c>
      <c r="C146" s="33">
        <v>9</v>
      </c>
      <c r="D146" s="11">
        <v>5</v>
      </c>
      <c r="E146" s="18" t="s">
        <v>90</v>
      </c>
      <c r="F146" s="18" t="s">
        <v>19</v>
      </c>
      <c r="G146" s="13" t="s">
        <v>95</v>
      </c>
    </row>
    <row r="147" spans="1:8" x14ac:dyDescent="0.25">
      <c r="A147" s="74">
        <v>263</v>
      </c>
      <c r="B147" s="31">
        <v>2025</v>
      </c>
      <c r="C147" s="33">
        <v>9</v>
      </c>
      <c r="D147" s="11">
        <v>5</v>
      </c>
      <c r="E147" s="18" t="s">
        <v>90</v>
      </c>
      <c r="F147" s="18" t="s">
        <v>20</v>
      </c>
      <c r="G147" s="13" t="s">
        <v>95</v>
      </c>
    </row>
    <row r="148" spans="1:8" x14ac:dyDescent="0.25">
      <c r="A148" s="74">
        <v>282</v>
      </c>
      <c r="B148" s="31">
        <v>2025</v>
      </c>
      <c r="C148" s="33">
        <v>9</v>
      </c>
      <c r="D148" s="11">
        <v>12</v>
      </c>
      <c r="E148" s="18" t="s">
        <v>90</v>
      </c>
      <c r="F148" s="18" t="s">
        <v>22</v>
      </c>
      <c r="G148" s="39" t="s">
        <v>103</v>
      </c>
    </row>
    <row r="149" spans="1:8" x14ac:dyDescent="0.25">
      <c r="A149" s="74">
        <v>283</v>
      </c>
      <c r="B149" s="31">
        <v>2025</v>
      </c>
      <c r="C149" s="33">
        <v>9</v>
      </c>
      <c r="D149" s="11">
        <v>12</v>
      </c>
      <c r="E149" s="18" t="s">
        <v>90</v>
      </c>
      <c r="F149" s="18" t="s">
        <v>23</v>
      </c>
      <c r="G149" s="39" t="s">
        <v>103</v>
      </c>
    </row>
    <row r="150" spans="1:8" x14ac:dyDescent="0.25">
      <c r="A150" s="74">
        <v>326</v>
      </c>
      <c r="B150" s="31">
        <v>2025</v>
      </c>
      <c r="C150" s="33">
        <v>10</v>
      </c>
      <c r="D150" s="11">
        <v>3</v>
      </c>
      <c r="E150" s="18" t="s">
        <v>90</v>
      </c>
      <c r="F150" s="18" t="s">
        <v>22</v>
      </c>
      <c r="G150" s="13" t="s">
        <v>109</v>
      </c>
    </row>
    <row r="151" spans="1:8" x14ac:dyDescent="0.25">
      <c r="A151" s="74">
        <v>327</v>
      </c>
      <c r="B151" s="31">
        <v>2025</v>
      </c>
      <c r="C151" s="33">
        <v>10</v>
      </c>
      <c r="D151" s="11">
        <v>3</v>
      </c>
      <c r="E151" s="18" t="s">
        <v>90</v>
      </c>
      <c r="F151" s="18" t="s">
        <v>23</v>
      </c>
      <c r="G151" s="13" t="s">
        <v>109</v>
      </c>
      <c r="H151">
        <v>8</v>
      </c>
    </row>
    <row r="152" spans="1:8" x14ac:dyDescent="0.25">
      <c r="A152" s="74">
        <v>1</v>
      </c>
      <c r="B152" s="31">
        <v>2025</v>
      </c>
      <c r="C152" s="32">
        <v>1</v>
      </c>
      <c r="D152" s="11">
        <v>13</v>
      </c>
      <c r="E152" s="18" t="s">
        <v>15</v>
      </c>
      <c r="F152" s="18" t="s">
        <v>16</v>
      </c>
      <c r="G152" s="13" t="s">
        <v>17</v>
      </c>
    </row>
    <row r="153" spans="1:8" x14ac:dyDescent="0.25">
      <c r="A153" s="74">
        <v>4</v>
      </c>
      <c r="B153" s="31">
        <v>2025</v>
      </c>
      <c r="C153" s="32">
        <v>1</v>
      </c>
      <c r="D153" s="11">
        <v>17</v>
      </c>
      <c r="E153" s="18" t="s">
        <v>15</v>
      </c>
      <c r="F153" s="18" t="s">
        <v>16</v>
      </c>
      <c r="G153" s="13" t="s">
        <v>21</v>
      </c>
    </row>
    <row r="154" spans="1:8" x14ac:dyDescent="0.25">
      <c r="A154" s="74">
        <v>7</v>
      </c>
      <c r="B154" s="31">
        <v>2025</v>
      </c>
      <c r="C154" s="32">
        <v>1</v>
      </c>
      <c r="D154" s="11">
        <v>22</v>
      </c>
      <c r="E154" s="18" t="s">
        <v>15</v>
      </c>
      <c r="F154" s="18" t="s">
        <v>19</v>
      </c>
      <c r="G154" s="13" t="s">
        <v>21</v>
      </c>
    </row>
    <row r="155" spans="1:8" x14ac:dyDescent="0.25">
      <c r="A155" s="74">
        <v>8</v>
      </c>
      <c r="B155" s="31">
        <v>2025</v>
      </c>
      <c r="C155" s="32">
        <v>1</v>
      </c>
      <c r="D155" s="11">
        <v>22</v>
      </c>
      <c r="E155" s="18" t="s">
        <v>15</v>
      </c>
      <c r="F155" s="18" t="s">
        <v>20</v>
      </c>
      <c r="G155" s="13" t="s">
        <v>21</v>
      </c>
    </row>
    <row r="156" spans="1:8" x14ac:dyDescent="0.25">
      <c r="A156" s="74">
        <v>9</v>
      </c>
      <c r="B156" s="31">
        <v>2025</v>
      </c>
      <c r="C156" s="32">
        <v>1</v>
      </c>
      <c r="D156" s="11">
        <v>29</v>
      </c>
      <c r="E156" s="18" t="s">
        <v>15</v>
      </c>
      <c r="F156" s="18" t="s">
        <v>22</v>
      </c>
      <c r="G156" s="13" t="s">
        <v>21</v>
      </c>
    </row>
    <row r="157" spans="1:8" x14ac:dyDescent="0.25">
      <c r="A157" s="74">
        <v>10</v>
      </c>
      <c r="B157" s="31">
        <v>2025</v>
      </c>
      <c r="C157" s="32">
        <v>1</v>
      </c>
      <c r="D157" s="11">
        <v>29</v>
      </c>
      <c r="E157" s="18" t="s">
        <v>15</v>
      </c>
      <c r="F157" s="18" t="s">
        <v>23</v>
      </c>
      <c r="G157" s="13" t="s">
        <v>21</v>
      </c>
    </row>
    <row r="158" spans="1:8" x14ac:dyDescent="0.25">
      <c r="A158" s="74">
        <v>19</v>
      </c>
      <c r="B158" s="31">
        <v>2025</v>
      </c>
      <c r="C158" s="32">
        <v>2</v>
      </c>
      <c r="D158" s="11">
        <v>14</v>
      </c>
      <c r="E158" s="18" t="s">
        <v>15</v>
      </c>
      <c r="F158" s="18" t="s">
        <v>22</v>
      </c>
      <c r="G158" s="13" t="s">
        <v>26</v>
      </c>
    </row>
    <row r="159" spans="1:8" x14ac:dyDescent="0.25">
      <c r="A159" s="74">
        <v>20</v>
      </c>
      <c r="B159" s="31">
        <v>2025</v>
      </c>
      <c r="C159" s="32">
        <v>2</v>
      </c>
      <c r="D159" s="11">
        <v>20</v>
      </c>
      <c r="E159" s="18" t="s">
        <v>15</v>
      </c>
      <c r="F159" s="18" t="s">
        <v>27</v>
      </c>
      <c r="G159" s="13" t="s">
        <v>17</v>
      </c>
    </row>
    <row r="160" spans="1:8" x14ac:dyDescent="0.25">
      <c r="A160" s="74">
        <v>21</v>
      </c>
      <c r="B160" s="31">
        <v>2025</v>
      </c>
      <c r="C160" s="32">
        <v>2</v>
      </c>
      <c r="D160" s="11">
        <v>24</v>
      </c>
      <c r="E160" s="18" t="s">
        <v>15</v>
      </c>
      <c r="F160" s="18" t="s">
        <v>28</v>
      </c>
      <c r="G160" s="13" t="s">
        <v>17</v>
      </c>
    </row>
    <row r="161" spans="1:7" x14ac:dyDescent="0.25">
      <c r="A161" s="74">
        <v>22</v>
      </c>
      <c r="B161" s="31">
        <v>2025</v>
      </c>
      <c r="C161" s="32">
        <v>2</v>
      </c>
      <c r="D161" s="11">
        <v>24</v>
      </c>
      <c r="E161" s="18" t="s">
        <v>15</v>
      </c>
      <c r="F161" s="18" t="s">
        <v>29</v>
      </c>
      <c r="G161" s="13" t="s">
        <v>17</v>
      </c>
    </row>
    <row r="162" spans="1:7" x14ac:dyDescent="0.25">
      <c r="A162" s="74">
        <v>37</v>
      </c>
      <c r="B162" s="31">
        <v>2025</v>
      </c>
      <c r="C162" s="33">
        <v>3</v>
      </c>
      <c r="D162" s="11">
        <v>28</v>
      </c>
      <c r="E162" s="18" t="s">
        <v>15</v>
      </c>
      <c r="F162" s="18" t="s">
        <v>27</v>
      </c>
      <c r="G162" s="13" t="s">
        <v>21</v>
      </c>
    </row>
    <row r="163" spans="1:7" x14ac:dyDescent="0.25">
      <c r="A163" s="74">
        <v>39</v>
      </c>
      <c r="B163" s="31">
        <v>2025</v>
      </c>
      <c r="C163" s="33">
        <v>4</v>
      </c>
      <c r="D163" s="11">
        <v>1</v>
      </c>
      <c r="E163" s="18" t="s">
        <v>15</v>
      </c>
      <c r="F163" s="18" t="s">
        <v>28</v>
      </c>
      <c r="G163" s="13" t="s">
        <v>21</v>
      </c>
    </row>
    <row r="164" spans="1:7" x14ac:dyDescent="0.25">
      <c r="A164" s="74">
        <v>40</v>
      </c>
      <c r="B164" s="31">
        <v>2025</v>
      </c>
      <c r="C164" s="33">
        <v>4</v>
      </c>
      <c r="D164" s="11">
        <v>1</v>
      </c>
      <c r="E164" s="12" t="s">
        <v>15</v>
      </c>
      <c r="F164" s="12" t="s">
        <v>35</v>
      </c>
      <c r="G164" s="16" t="s">
        <v>21</v>
      </c>
    </row>
    <row r="165" spans="1:7" x14ac:dyDescent="0.25">
      <c r="A165" s="74">
        <v>45</v>
      </c>
      <c r="B165" s="31">
        <v>2025</v>
      </c>
      <c r="C165" s="33">
        <v>4</v>
      </c>
      <c r="D165" s="11">
        <v>2</v>
      </c>
      <c r="E165" s="18" t="s">
        <v>15</v>
      </c>
      <c r="F165" s="18" t="s">
        <v>22</v>
      </c>
      <c r="G165" s="13" t="s">
        <v>48</v>
      </c>
    </row>
    <row r="166" spans="1:7" x14ac:dyDescent="0.25">
      <c r="A166" s="74">
        <v>46</v>
      </c>
      <c r="B166" s="31">
        <v>2025</v>
      </c>
      <c r="C166" s="33">
        <v>4</v>
      </c>
      <c r="D166" s="11">
        <v>2</v>
      </c>
      <c r="E166" s="18" t="s">
        <v>15</v>
      </c>
      <c r="F166" s="18" t="s">
        <v>23</v>
      </c>
      <c r="G166" s="13" t="s">
        <v>48</v>
      </c>
    </row>
    <row r="167" spans="1:7" x14ac:dyDescent="0.25">
      <c r="A167" s="74">
        <v>74</v>
      </c>
      <c r="B167" s="31">
        <v>2025</v>
      </c>
      <c r="C167" s="33">
        <v>4</v>
      </c>
      <c r="D167" s="11">
        <v>15</v>
      </c>
      <c r="E167" s="18" t="s">
        <v>15</v>
      </c>
      <c r="F167" s="18" t="s">
        <v>16</v>
      </c>
      <c r="G167" s="13" t="s">
        <v>65</v>
      </c>
    </row>
    <row r="168" spans="1:7" x14ac:dyDescent="0.25">
      <c r="A168" s="74">
        <v>75</v>
      </c>
      <c r="B168" s="31">
        <v>2025</v>
      </c>
      <c r="C168" s="33">
        <v>4</v>
      </c>
      <c r="D168" s="11">
        <v>16</v>
      </c>
      <c r="E168" s="18" t="s">
        <v>15</v>
      </c>
      <c r="F168" s="18" t="s">
        <v>19</v>
      </c>
      <c r="G168" s="13" t="s">
        <v>65</v>
      </c>
    </row>
    <row r="169" spans="1:7" x14ac:dyDescent="0.25">
      <c r="A169" s="74">
        <v>76</v>
      </c>
      <c r="B169" s="31">
        <v>2025</v>
      </c>
      <c r="C169" s="33">
        <v>4</v>
      </c>
      <c r="D169" s="11">
        <v>16</v>
      </c>
      <c r="E169" s="18" t="s">
        <v>15</v>
      </c>
      <c r="F169" s="18" t="s">
        <v>20</v>
      </c>
      <c r="G169" s="13" t="s">
        <v>65</v>
      </c>
    </row>
    <row r="170" spans="1:7" x14ac:dyDescent="0.25">
      <c r="A170" s="74">
        <v>77</v>
      </c>
      <c r="B170" s="31">
        <v>2025</v>
      </c>
      <c r="C170" s="33">
        <v>4</v>
      </c>
      <c r="D170" s="11">
        <v>17</v>
      </c>
      <c r="E170" s="18" t="s">
        <v>15</v>
      </c>
      <c r="F170" s="18" t="s">
        <v>22</v>
      </c>
      <c r="G170" s="13" t="s">
        <v>65</v>
      </c>
    </row>
    <row r="171" spans="1:7" x14ac:dyDescent="0.25">
      <c r="A171" s="74">
        <v>78</v>
      </c>
      <c r="B171" s="31">
        <v>2025</v>
      </c>
      <c r="C171" s="33">
        <v>4</v>
      </c>
      <c r="D171" s="11">
        <v>17</v>
      </c>
      <c r="E171" s="18" t="s">
        <v>15</v>
      </c>
      <c r="F171" s="18" t="s">
        <v>23</v>
      </c>
      <c r="G171" s="13" t="s">
        <v>65</v>
      </c>
    </row>
    <row r="172" spans="1:7" x14ac:dyDescent="0.25">
      <c r="A172" s="74">
        <v>93</v>
      </c>
      <c r="B172" s="31">
        <v>2025</v>
      </c>
      <c r="C172" s="33">
        <v>5</v>
      </c>
      <c r="D172" s="11">
        <v>20</v>
      </c>
      <c r="E172" s="18" t="s">
        <v>15</v>
      </c>
      <c r="F172" s="18" t="s">
        <v>27</v>
      </c>
      <c r="G172" s="13" t="s">
        <v>61</v>
      </c>
    </row>
    <row r="173" spans="1:7" x14ac:dyDescent="0.25">
      <c r="A173" s="74">
        <v>99</v>
      </c>
      <c r="B173" s="31">
        <v>2025</v>
      </c>
      <c r="C173" s="33">
        <v>5</v>
      </c>
      <c r="D173" s="11">
        <v>22</v>
      </c>
      <c r="E173" s="18" t="s">
        <v>15</v>
      </c>
      <c r="F173" s="18" t="s">
        <v>22</v>
      </c>
      <c r="G173" s="13" t="s">
        <v>66</v>
      </c>
    </row>
    <row r="174" spans="1:7" x14ac:dyDescent="0.25">
      <c r="A174" s="74">
        <v>100</v>
      </c>
      <c r="B174" s="31">
        <v>2025</v>
      </c>
      <c r="C174" s="33">
        <v>5</v>
      </c>
      <c r="D174" s="11">
        <v>22</v>
      </c>
      <c r="E174" s="18" t="s">
        <v>15</v>
      </c>
      <c r="F174" s="18" t="s">
        <v>23</v>
      </c>
      <c r="G174" s="13" t="s">
        <v>66</v>
      </c>
    </row>
    <row r="175" spans="1:7" x14ac:dyDescent="0.25">
      <c r="A175" s="74">
        <v>103</v>
      </c>
      <c r="B175" s="31">
        <v>2025</v>
      </c>
      <c r="C175" s="33">
        <v>5</v>
      </c>
      <c r="D175" s="11">
        <v>26</v>
      </c>
      <c r="E175" s="18" t="s">
        <v>15</v>
      </c>
      <c r="F175" s="18" t="s">
        <v>16</v>
      </c>
      <c r="G175" s="13" t="s">
        <v>70</v>
      </c>
    </row>
    <row r="176" spans="1:7" x14ac:dyDescent="0.25">
      <c r="A176" s="74">
        <v>104</v>
      </c>
      <c r="B176" s="31">
        <v>2025</v>
      </c>
      <c r="C176" s="33">
        <v>5</v>
      </c>
      <c r="D176" s="11">
        <v>27</v>
      </c>
      <c r="E176" s="18" t="s">
        <v>15</v>
      </c>
      <c r="F176" s="18" t="s">
        <v>29</v>
      </c>
      <c r="G176" s="13" t="s">
        <v>61</v>
      </c>
    </row>
    <row r="177" spans="1:7" x14ac:dyDescent="0.25">
      <c r="A177" s="74">
        <v>105</v>
      </c>
      <c r="B177" s="31">
        <v>2025</v>
      </c>
      <c r="C177" s="33">
        <v>5</v>
      </c>
      <c r="D177" s="11">
        <v>27</v>
      </c>
      <c r="E177" s="18" t="s">
        <v>15</v>
      </c>
      <c r="F177" s="18" t="s">
        <v>35</v>
      </c>
      <c r="G177" s="13" t="s">
        <v>61</v>
      </c>
    </row>
    <row r="178" spans="1:7" x14ac:dyDescent="0.25">
      <c r="A178" s="74">
        <v>112</v>
      </c>
      <c r="B178" s="31">
        <v>2025</v>
      </c>
      <c r="C178" s="33">
        <v>6</v>
      </c>
      <c r="D178" s="11">
        <v>2</v>
      </c>
      <c r="E178" s="18" t="s">
        <v>15</v>
      </c>
      <c r="F178" s="18" t="s">
        <v>19</v>
      </c>
      <c r="G178" s="13" t="s">
        <v>70</v>
      </c>
    </row>
    <row r="179" spans="1:7" x14ac:dyDescent="0.25">
      <c r="A179" s="74">
        <v>113</v>
      </c>
      <c r="B179" s="31">
        <v>2025</v>
      </c>
      <c r="C179" s="33">
        <v>6</v>
      </c>
      <c r="D179" s="11">
        <v>2</v>
      </c>
      <c r="E179" s="12" t="s">
        <v>15</v>
      </c>
      <c r="F179" s="12" t="s">
        <v>20</v>
      </c>
      <c r="G179" s="13" t="s">
        <v>70</v>
      </c>
    </row>
    <row r="180" spans="1:7" x14ac:dyDescent="0.25">
      <c r="A180" s="74">
        <v>116</v>
      </c>
      <c r="B180" s="31">
        <v>2025</v>
      </c>
      <c r="C180" s="33">
        <v>6</v>
      </c>
      <c r="D180" s="11">
        <v>5</v>
      </c>
      <c r="E180" s="18" t="s">
        <v>15</v>
      </c>
      <c r="F180" s="18" t="s">
        <v>22</v>
      </c>
      <c r="G180" s="13" t="s">
        <v>70</v>
      </c>
    </row>
    <row r="181" spans="1:7" x14ac:dyDescent="0.25">
      <c r="A181" s="74">
        <v>117</v>
      </c>
      <c r="B181" s="31">
        <v>2025</v>
      </c>
      <c r="C181" s="33">
        <v>6</v>
      </c>
      <c r="D181" s="11">
        <v>5</v>
      </c>
      <c r="E181" s="18" t="s">
        <v>15</v>
      </c>
      <c r="F181" s="18" t="s">
        <v>23</v>
      </c>
      <c r="G181" s="13" t="s">
        <v>70</v>
      </c>
    </row>
    <row r="182" spans="1:7" x14ac:dyDescent="0.25">
      <c r="A182" s="74">
        <v>135</v>
      </c>
      <c r="B182" s="31">
        <v>2025</v>
      </c>
      <c r="C182" s="33">
        <v>6</v>
      </c>
      <c r="D182" s="11">
        <v>19</v>
      </c>
      <c r="E182" s="18" t="s">
        <v>15</v>
      </c>
      <c r="F182" s="18" t="s">
        <v>19</v>
      </c>
      <c r="G182" s="13" t="s">
        <v>73</v>
      </c>
    </row>
    <row r="183" spans="1:7" x14ac:dyDescent="0.25">
      <c r="A183" s="74">
        <v>136</v>
      </c>
      <c r="B183" s="31">
        <v>2025</v>
      </c>
      <c r="C183" s="33">
        <v>6</v>
      </c>
      <c r="D183" s="11">
        <v>19</v>
      </c>
      <c r="E183" s="18" t="s">
        <v>15</v>
      </c>
      <c r="F183" s="18" t="s">
        <v>20</v>
      </c>
      <c r="G183" s="13" t="s">
        <v>73</v>
      </c>
    </row>
    <row r="184" spans="1:7" x14ac:dyDescent="0.25">
      <c r="A184" s="74">
        <v>137</v>
      </c>
      <c r="B184" s="31">
        <v>2025</v>
      </c>
      <c r="C184" s="33">
        <v>6</v>
      </c>
      <c r="D184" s="11">
        <v>24</v>
      </c>
      <c r="E184" s="18" t="s">
        <v>15</v>
      </c>
      <c r="F184" s="18" t="s">
        <v>22</v>
      </c>
      <c r="G184" s="13" t="s">
        <v>73</v>
      </c>
    </row>
    <row r="185" spans="1:7" x14ac:dyDescent="0.25">
      <c r="A185" s="74">
        <v>138</v>
      </c>
      <c r="B185" s="31">
        <v>2025</v>
      </c>
      <c r="C185" s="33">
        <v>6</v>
      </c>
      <c r="D185" s="11">
        <v>24</v>
      </c>
      <c r="E185" s="18" t="s">
        <v>15</v>
      </c>
      <c r="F185" s="18" t="s">
        <v>23</v>
      </c>
      <c r="G185" s="13" t="s">
        <v>73</v>
      </c>
    </row>
    <row r="186" spans="1:7" x14ac:dyDescent="0.25">
      <c r="A186" s="74">
        <v>149</v>
      </c>
      <c r="B186" s="31">
        <v>2025</v>
      </c>
      <c r="C186" s="33">
        <v>7</v>
      </c>
      <c r="D186" s="11">
        <v>1</v>
      </c>
      <c r="E186" s="18" t="s">
        <v>15</v>
      </c>
      <c r="F186" s="18" t="s">
        <v>16</v>
      </c>
      <c r="G186" s="13" t="s">
        <v>77</v>
      </c>
    </row>
    <row r="187" spans="1:7" x14ac:dyDescent="0.25">
      <c r="A187" s="74">
        <v>167</v>
      </c>
      <c r="B187" s="31">
        <v>2025</v>
      </c>
      <c r="C187" s="33">
        <v>7</v>
      </c>
      <c r="D187" s="11">
        <v>9</v>
      </c>
      <c r="E187" s="18" t="s">
        <v>15</v>
      </c>
      <c r="F187" s="18" t="s">
        <v>27</v>
      </c>
      <c r="G187" s="13" t="s">
        <v>65</v>
      </c>
    </row>
    <row r="188" spans="1:7" x14ac:dyDescent="0.25">
      <c r="A188" s="74">
        <v>168</v>
      </c>
      <c r="B188" s="31">
        <v>2025</v>
      </c>
      <c r="C188" s="33">
        <v>7</v>
      </c>
      <c r="D188" s="11">
        <v>10</v>
      </c>
      <c r="E188" s="18" t="s">
        <v>15</v>
      </c>
      <c r="F188" s="18" t="s">
        <v>75</v>
      </c>
      <c r="G188" s="13" t="s">
        <v>65</v>
      </c>
    </row>
    <row r="189" spans="1:7" x14ac:dyDescent="0.25">
      <c r="A189" s="74">
        <v>175</v>
      </c>
      <c r="B189" s="31">
        <v>2025</v>
      </c>
      <c r="C189" s="33">
        <v>7</v>
      </c>
      <c r="D189" s="11">
        <v>11</v>
      </c>
      <c r="E189" s="18" t="s">
        <v>15</v>
      </c>
      <c r="F189" s="18" t="s">
        <v>16</v>
      </c>
      <c r="G189" s="13" t="s">
        <v>83</v>
      </c>
    </row>
    <row r="190" spans="1:7" x14ac:dyDescent="0.25">
      <c r="A190" s="74">
        <v>185</v>
      </c>
      <c r="B190" s="31">
        <v>2025</v>
      </c>
      <c r="C190" s="33">
        <v>7</v>
      </c>
      <c r="D190" s="11">
        <v>16</v>
      </c>
      <c r="E190" s="18" t="s">
        <v>15</v>
      </c>
      <c r="F190" s="18" t="s">
        <v>27</v>
      </c>
      <c r="G190" s="13" t="s">
        <v>70</v>
      </c>
    </row>
    <row r="191" spans="1:7" x14ac:dyDescent="0.25">
      <c r="A191" s="74">
        <v>190</v>
      </c>
      <c r="B191" s="31">
        <v>2025</v>
      </c>
      <c r="C191" s="33">
        <v>7</v>
      </c>
      <c r="D191" s="11">
        <v>22</v>
      </c>
      <c r="E191" s="18" t="s">
        <v>15</v>
      </c>
      <c r="F191" s="18" t="s">
        <v>28</v>
      </c>
      <c r="G191" s="13" t="s">
        <v>77</v>
      </c>
    </row>
    <row r="192" spans="1:7" x14ac:dyDescent="0.25">
      <c r="A192" s="74">
        <v>191</v>
      </c>
      <c r="B192" s="31">
        <v>2025</v>
      </c>
      <c r="C192" s="33">
        <v>7</v>
      </c>
      <c r="D192" s="11">
        <v>22</v>
      </c>
      <c r="E192" s="12" t="s">
        <v>15</v>
      </c>
      <c r="F192" s="12" t="s">
        <v>35</v>
      </c>
      <c r="G192" s="13" t="s">
        <v>77</v>
      </c>
    </row>
    <row r="193" spans="1:7" x14ac:dyDescent="0.25">
      <c r="A193" s="74">
        <v>194</v>
      </c>
      <c r="B193" s="31">
        <v>2025</v>
      </c>
      <c r="C193" s="33">
        <v>7</v>
      </c>
      <c r="D193" s="11">
        <v>23</v>
      </c>
      <c r="E193" s="18" t="s">
        <v>15</v>
      </c>
      <c r="F193" s="18" t="s">
        <v>16</v>
      </c>
      <c r="G193" s="13" t="s">
        <v>85</v>
      </c>
    </row>
    <row r="194" spans="1:7" x14ac:dyDescent="0.25">
      <c r="A194" s="74">
        <v>239</v>
      </c>
      <c r="B194" s="31">
        <v>2025</v>
      </c>
      <c r="C194" s="33">
        <v>8</v>
      </c>
      <c r="D194" s="11">
        <v>27</v>
      </c>
      <c r="E194" s="18" t="s">
        <v>15</v>
      </c>
      <c r="F194" s="18" t="s">
        <v>16</v>
      </c>
      <c r="G194" s="13" t="s">
        <v>93</v>
      </c>
    </row>
    <row r="195" spans="1:7" x14ac:dyDescent="0.25">
      <c r="A195" s="74">
        <v>250</v>
      </c>
      <c r="B195" s="31">
        <v>2025</v>
      </c>
      <c r="C195" s="33">
        <v>8</v>
      </c>
      <c r="D195" s="11">
        <v>26</v>
      </c>
      <c r="E195" s="18" t="s">
        <v>15</v>
      </c>
      <c r="F195" s="18" t="s">
        <v>27</v>
      </c>
      <c r="G195" s="13" t="s">
        <v>73</v>
      </c>
    </row>
    <row r="196" spans="1:7" x14ac:dyDescent="0.25">
      <c r="A196" s="74">
        <v>252</v>
      </c>
      <c r="B196" s="31">
        <v>2025</v>
      </c>
      <c r="C196" s="33">
        <v>9</v>
      </c>
      <c r="D196" s="11">
        <v>2</v>
      </c>
      <c r="E196" s="18" t="s">
        <v>15</v>
      </c>
      <c r="F196" s="18" t="s">
        <v>16</v>
      </c>
      <c r="G196" s="13" t="s">
        <v>99</v>
      </c>
    </row>
    <row r="197" spans="1:7" x14ac:dyDescent="0.25">
      <c r="A197" s="74">
        <v>259</v>
      </c>
      <c r="B197" s="31">
        <v>2025</v>
      </c>
      <c r="C197" s="33">
        <v>9</v>
      </c>
      <c r="D197" s="11">
        <v>4</v>
      </c>
      <c r="E197" s="18" t="s">
        <v>15</v>
      </c>
      <c r="F197" s="18" t="s">
        <v>75</v>
      </c>
      <c r="G197" s="13" t="s">
        <v>70</v>
      </c>
    </row>
    <row r="198" spans="1:7" x14ac:dyDescent="0.25">
      <c r="A198" s="74">
        <v>267</v>
      </c>
      <c r="B198" s="31">
        <v>2025</v>
      </c>
      <c r="C198" s="33">
        <v>9</v>
      </c>
      <c r="D198" s="11">
        <v>8</v>
      </c>
      <c r="E198" s="18" t="s">
        <v>15</v>
      </c>
      <c r="F198" s="18" t="s">
        <v>22</v>
      </c>
      <c r="G198" s="13" t="s">
        <v>99</v>
      </c>
    </row>
    <row r="199" spans="1:7" x14ac:dyDescent="0.25">
      <c r="A199" s="74">
        <v>268</v>
      </c>
      <c r="B199" s="31">
        <v>2025</v>
      </c>
      <c r="C199" s="33">
        <v>9</v>
      </c>
      <c r="D199" s="11">
        <v>8</v>
      </c>
      <c r="E199" s="18" t="s">
        <v>15</v>
      </c>
      <c r="F199" s="18" t="s">
        <v>23</v>
      </c>
      <c r="G199" s="13" t="s">
        <v>99</v>
      </c>
    </row>
    <row r="200" spans="1:7" x14ac:dyDescent="0.25">
      <c r="A200" s="74">
        <v>269</v>
      </c>
      <c r="B200" s="31">
        <v>2025</v>
      </c>
      <c r="C200" s="33">
        <v>9</v>
      </c>
      <c r="D200" s="11">
        <v>9</v>
      </c>
      <c r="E200" s="18" t="s">
        <v>15</v>
      </c>
      <c r="F200" s="18" t="s">
        <v>19</v>
      </c>
      <c r="G200" s="13" t="s">
        <v>99</v>
      </c>
    </row>
    <row r="201" spans="1:7" x14ac:dyDescent="0.25">
      <c r="A201" s="74">
        <v>270</v>
      </c>
      <c r="B201" s="31">
        <v>2025</v>
      </c>
      <c r="C201" s="33">
        <v>9</v>
      </c>
      <c r="D201" s="11">
        <v>9</v>
      </c>
      <c r="E201" s="18" t="s">
        <v>15</v>
      </c>
      <c r="F201" s="18" t="s">
        <v>20</v>
      </c>
      <c r="G201" s="13" t="s">
        <v>99</v>
      </c>
    </row>
    <row r="202" spans="1:7" x14ac:dyDescent="0.25">
      <c r="A202" s="74">
        <v>285</v>
      </c>
      <c r="B202" s="31">
        <v>2025</v>
      </c>
      <c r="C202" s="33">
        <v>9</v>
      </c>
      <c r="D202" s="11">
        <v>11</v>
      </c>
      <c r="E202" s="18" t="s">
        <v>15</v>
      </c>
      <c r="F202" s="18" t="s">
        <v>22</v>
      </c>
      <c r="G202" s="13" t="s">
        <v>93</v>
      </c>
    </row>
    <row r="203" spans="1:7" x14ac:dyDescent="0.25">
      <c r="A203" s="74">
        <v>286</v>
      </c>
      <c r="B203" s="31">
        <v>2025</v>
      </c>
      <c r="C203" s="33">
        <v>9</v>
      </c>
      <c r="D203" s="11">
        <v>11</v>
      </c>
      <c r="E203" s="18" t="s">
        <v>15</v>
      </c>
      <c r="F203" s="18" t="s">
        <v>23</v>
      </c>
      <c r="G203" s="13" t="s">
        <v>93</v>
      </c>
    </row>
    <row r="204" spans="1:7" x14ac:dyDescent="0.25">
      <c r="A204" s="74">
        <v>303</v>
      </c>
      <c r="B204" s="31">
        <v>2025</v>
      </c>
      <c r="C204" s="33">
        <v>9</v>
      </c>
      <c r="D204" s="11">
        <v>23</v>
      </c>
      <c r="E204" s="18" t="s">
        <v>15</v>
      </c>
      <c r="F204" s="18" t="s">
        <v>20</v>
      </c>
      <c r="G204" s="39" t="s">
        <v>104</v>
      </c>
    </row>
    <row r="205" spans="1:7" x14ac:dyDescent="0.25">
      <c r="A205" s="74">
        <v>304</v>
      </c>
      <c r="B205" s="31">
        <v>2025</v>
      </c>
      <c r="C205" s="33">
        <v>9</v>
      </c>
      <c r="D205" s="11">
        <v>23</v>
      </c>
      <c r="E205" s="18" t="s">
        <v>15</v>
      </c>
      <c r="F205" s="18" t="s">
        <v>19</v>
      </c>
      <c r="G205" s="39" t="s">
        <v>104</v>
      </c>
    </row>
    <row r="206" spans="1:7" x14ac:dyDescent="0.25">
      <c r="A206" s="74">
        <v>305</v>
      </c>
      <c r="B206" s="31">
        <v>2025</v>
      </c>
      <c r="C206" s="33">
        <v>9</v>
      </c>
      <c r="D206" s="11">
        <v>24</v>
      </c>
      <c r="E206" s="18" t="s">
        <v>15</v>
      </c>
      <c r="F206" s="18" t="s">
        <v>22</v>
      </c>
      <c r="G206" s="39" t="s">
        <v>104</v>
      </c>
    </row>
    <row r="207" spans="1:7" x14ac:dyDescent="0.25">
      <c r="A207" s="74">
        <v>306</v>
      </c>
      <c r="B207" s="31">
        <v>2025</v>
      </c>
      <c r="C207" s="33">
        <v>9</v>
      </c>
      <c r="D207" s="11">
        <v>24</v>
      </c>
      <c r="E207" s="18" t="s">
        <v>15</v>
      </c>
      <c r="F207" s="18" t="s">
        <v>23</v>
      </c>
      <c r="G207" s="39" t="s">
        <v>104</v>
      </c>
    </row>
    <row r="208" spans="1:7" x14ac:dyDescent="0.25">
      <c r="A208" s="74">
        <v>322</v>
      </c>
      <c r="B208" s="31">
        <v>2025</v>
      </c>
      <c r="C208" s="33">
        <v>9</v>
      </c>
      <c r="D208" s="11">
        <v>30</v>
      </c>
      <c r="E208" s="18" t="s">
        <v>15</v>
      </c>
      <c r="F208" s="18" t="s">
        <v>16</v>
      </c>
      <c r="G208" s="13" t="s">
        <v>109</v>
      </c>
    </row>
    <row r="209" spans="1:8" x14ac:dyDescent="0.25">
      <c r="A209" s="74">
        <v>325</v>
      </c>
      <c r="B209" s="31">
        <v>2025</v>
      </c>
      <c r="C209" s="33">
        <v>10</v>
      </c>
      <c r="D209" s="11">
        <v>3</v>
      </c>
      <c r="E209" s="18" t="s">
        <v>15</v>
      </c>
      <c r="F209" s="18" t="s">
        <v>75</v>
      </c>
      <c r="G209" s="39" t="s">
        <v>106</v>
      </c>
    </row>
    <row r="210" spans="1:8" x14ac:dyDescent="0.25">
      <c r="A210" s="74">
        <v>347</v>
      </c>
      <c r="B210" s="31">
        <v>2025</v>
      </c>
      <c r="C210" s="33">
        <v>10</v>
      </c>
      <c r="D210" s="11">
        <v>15</v>
      </c>
      <c r="E210" s="18" t="s">
        <v>15</v>
      </c>
      <c r="F210" s="18" t="s">
        <v>27</v>
      </c>
      <c r="G210" s="39" t="s">
        <v>100</v>
      </c>
    </row>
    <row r="211" spans="1:8" x14ac:dyDescent="0.25">
      <c r="A211" s="74">
        <v>348</v>
      </c>
      <c r="B211" s="31">
        <v>2025</v>
      </c>
      <c r="C211" s="33">
        <v>10</v>
      </c>
      <c r="D211" s="11">
        <v>21</v>
      </c>
      <c r="E211" s="18" t="s">
        <v>15</v>
      </c>
      <c r="F211" s="18" t="s">
        <v>84</v>
      </c>
      <c r="G211" s="39" t="s">
        <v>100</v>
      </c>
    </row>
    <row r="212" spans="1:8" x14ac:dyDescent="0.25">
      <c r="A212" s="74">
        <v>349</v>
      </c>
      <c r="B212" s="31">
        <v>2025</v>
      </c>
      <c r="C212" s="33">
        <v>10</v>
      </c>
      <c r="D212" s="11">
        <v>21</v>
      </c>
      <c r="E212" s="18" t="s">
        <v>15</v>
      </c>
      <c r="F212" s="18" t="s">
        <v>28</v>
      </c>
      <c r="G212" s="39" t="s">
        <v>100</v>
      </c>
    </row>
    <row r="213" spans="1:8" x14ac:dyDescent="0.25">
      <c r="A213" s="74">
        <v>360</v>
      </c>
      <c r="B213" s="31">
        <v>2025</v>
      </c>
      <c r="C213" s="33">
        <v>10</v>
      </c>
      <c r="D213" s="11">
        <v>9</v>
      </c>
      <c r="E213" s="18" t="s">
        <v>15</v>
      </c>
      <c r="F213" s="18" t="s">
        <v>22</v>
      </c>
      <c r="G213" s="13" t="s">
        <v>114</v>
      </c>
    </row>
    <row r="214" spans="1:8" x14ac:dyDescent="0.25">
      <c r="A214" s="74">
        <v>361</v>
      </c>
      <c r="B214" s="31">
        <v>2025</v>
      </c>
      <c r="C214" s="33">
        <v>10</v>
      </c>
      <c r="D214" s="11">
        <v>9</v>
      </c>
      <c r="E214" s="18" t="s">
        <v>15</v>
      </c>
      <c r="F214" s="18" t="s">
        <v>23</v>
      </c>
      <c r="G214" s="13" t="s">
        <v>114</v>
      </c>
    </row>
    <row r="215" spans="1:8" x14ac:dyDescent="0.25">
      <c r="A215" s="74">
        <v>375</v>
      </c>
      <c r="B215" s="31">
        <v>2025</v>
      </c>
      <c r="C215" s="33">
        <v>11</v>
      </c>
      <c r="D215" s="11">
        <v>18</v>
      </c>
      <c r="E215" s="18" t="s">
        <v>15</v>
      </c>
      <c r="F215" s="18" t="s">
        <v>27</v>
      </c>
      <c r="G215" s="13" t="s">
        <v>95</v>
      </c>
    </row>
    <row r="216" spans="1:8" x14ac:dyDescent="0.25">
      <c r="A216" s="74">
        <v>378</v>
      </c>
      <c r="B216" s="31">
        <v>2025</v>
      </c>
      <c r="C216" s="33">
        <v>11</v>
      </c>
      <c r="D216" s="11">
        <v>10</v>
      </c>
      <c r="E216" s="18" t="s">
        <v>15</v>
      </c>
      <c r="F216" s="18" t="s">
        <v>28</v>
      </c>
      <c r="G216" s="39" t="s">
        <v>104</v>
      </c>
    </row>
    <row r="217" spans="1:8" x14ac:dyDescent="0.25">
      <c r="A217" s="74">
        <v>379</v>
      </c>
      <c r="B217" s="31">
        <v>2025</v>
      </c>
      <c r="C217" s="33">
        <v>11</v>
      </c>
      <c r="D217" s="11">
        <v>10</v>
      </c>
      <c r="E217" s="18" t="s">
        <v>15</v>
      </c>
      <c r="F217" s="18" t="s">
        <v>84</v>
      </c>
      <c r="G217" s="39" t="s">
        <v>104</v>
      </c>
    </row>
    <row r="218" spans="1:8" x14ac:dyDescent="0.25">
      <c r="A218" s="74">
        <v>384</v>
      </c>
      <c r="B218" s="31">
        <v>2025</v>
      </c>
      <c r="C218" s="33">
        <v>11</v>
      </c>
      <c r="D218" s="11">
        <v>21</v>
      </c>
      <c r="E218" s="18" t="s">
        <v>15</v>
      </c>
      <c r="F218" s="18" t="s">
        <v>27</v>
      </c>
      <c r="G218" s="13" t="s">
        <v>99</v>
      </c>
    </row>
    <row r="219" spans="1:8" x14ac:dyDescent="0.25">
      <c r="A219" s="74">
        <v>391</v>
      </c>
      <c r="B219" s="31">
        <v>2025</v>
      </c>
      <c r="C219" s="33">
        <v>11</v>
      </c>
      <c r="D219" s="11">
        <v>1</v>
      </c>
      <c r="E219" s="18" t="s">
        <v>15</v>
      </c>
      <c r="F219" s="18" t="s">
        <v>16</v>
      </c>
      <c r="G219" s="69" t="s">
        <v>117</v>
      </c>
    </row>
    <row r="220" spans="1:8" x14ac:dyDescent="0.25">
      <c r="A220" s="74">
        <v>392</v>
      </c>
      <c r="B220" s="31">
        <v>2025</v>
      </c>
      <c r="C220" s="33">
        <v>11</v>
      </c>
      <c r="D220" s="11">
        <v>6</v>
      </c>
      <c r="E220" s="18" t="s">
        <v>15</v>
      </c>
      <c r="F220" s="18" t="s">
        <v>19</v>
      </c>
      <c r="G220" s="69" t="s">
        <v>117</v>
      </c>
    </row>
    <row r="221" spans="1:8" x14ac:dyDescent="0.25">
      <c r="A221" s="74">
        <v>393</v>
      </c>
      <c r="B221" s="31">
        <v>2025</v>
      </c>
      <c r="C221" s="33">
        <v>11</v>
      </c>
      <c r="D221" s="11">
        <v>6</v>
      </c>
      <c r="E221" s="18" t="s">
        <v>15</v>
      </c>
      <c r="F221" s="18" t="s">
        <v>20</v>
      </c>
      <c r="G221" s="69" t="s">
        <v>117</v>
      </c>
    </row>
    <row r="222" spans="1:8" x14ac:dyDescent="0.25">
      <c r="A222" s="74">
        <v>394</v>
      </c>
      <c r="B222" s="31">
        <v>2025</v>
      </c>
      <c r="C222" s="33">
        <v>11</v>
      </c>
      <c r="D222" s="11">
        <v>7</v>
      </c>
      <c r="E222" s="18" t="s">
        <v>15</v>
      </c>
      <c r="F222" s="18" t="s">
        <v>22</v>
      </c>
      <c r="G222" s="69" t="s">
        <v>117</v>
      </c>
    </row>
    <row r="223" spans="1:8" x14ac:dyDescent="0.25">
      <c r="A223" s="74">
        <v>395</v>
      </c>
      <c r="B223" s="31">
        <v>2025</v>
      </c>
      <c r="C223" s="33">
        <v>11</v>
      </c>
      <c r="D223" s="11">
        <v>7</v>
      </c>
      <c r="E223" s="12" t="s">
        <v>15</v>
      </c>
      <c r="F223" s="12" t="s">
        <v>23</v>
      </c>
      <c r="G223" s="76" t="s">
        <v>117</v>
      </c>
    </row>
    <row r="224" spans="1:8" x14ac:dyDescent="0.25">
      <c r="A224" s="74">
        <v>396</v>
      </c>
      <c r="B224" s="31">
        <v>2025</v>
      </c>
      <c r="C224" s="33">
        <v>11</v>
      </c>
      <c r="D224" s="11">
        <v>14</v>
      </c>
      <c r="E224" s="18" t="s">
        <v>15</v>
      </c>
      <c r="F224" s="18" t="s">
        <v>27</v>
      </c>
      <c r="G224" s="69" t="s">
        <v>117</v>
      </c>
      <c r="H224">
        <v>73</v>
      </c>
    </row>
    <row r="225" spans="1:7" x14ac:dyDescent="0.25">
      <c r="A225" s="74">
        <v>14</v>
      </c>
      <c r="B225" s="31">
        <v>2025</v>
      </c>
      <c r="C225" s="32">
        <v>2</v>
      </c>
      <c r="D225" s="11">
        <v>11</v>
      </c>
      <c r="E225" s="18" t="s">
        <v>25</v>
      </c>
      <c r="F225" s="18" t="s">
        <v>16</v>
      </c>
      <c r="G225" s="13" t="s">
        <v>26</v>
      </c>
    </row>
    <row r="226" spans="1:7" x14ac:dyDescent="0.25">
      <c r="A226" s="74">
        <v>17</v>
      </c>
      <c r="B226" s="31">
        <v>2025</v>
      </c>
      <c r="C226" s="32">
        <v>2</v>
      </c>
      <c r="D226" s="11">
        <v>12</v>
      </c>
      <c r="E226" s="18" t="s">
        <v>25</v>
      </c>
      <c r="F226" s="18" t="s">
        <v>19</v>
      </c>
      <c r="G226" s="13" t="s">
        <v>26</v>
      </c>
    </row>
    <row r="227" spans="1:7" x14ac:dyDescent="0.25">
      <c r="A227" s="74">
        <v>18</v>
      </c>
      <c r="B227" s="31">
        <v>2025</v>
      </c>
      <c r="C227" s="32">
        <v>2</v>
      </c>
      <c r="D227" s="11">
        <v>12</v>
      </c>
      <c r="E227" s="18" t="s">
        <v>25</v>
      </c>
      <c r="F227" s="18" t="s">
        <v>20</v>
      </c>
      <c r="G227" s="13" t="s">
        <v>26</v>
      </c>
    </row>
    <row r="228" spans="1:7" x14ac:dyDescent="0.25">
      <c r="A228" s="74">
        <v>58</v>
      </c>
      <c r="B228" s="31">
        <v>2025</v>
      </c>
      <c r="C228" s="33">
        <v>4</v>
      </c>
      <c r="D228" s="11">
        <v>2</v>
      </c>
      <c r="E228" s="18" t="s">
        <v>25</v>
      </c>
      <c r="F228" s="18" t="s">
        <v>16</v>
      </c>
      <c r="G228" s="13" t="s">
        <v>60</v>
      </c>
    </row>
    <row r="229" spans="1:7" x14ac:dyDescent="0.25">
      <c r="A229" s="74">
        <v>59</v>
      </c>
      <c r="B229" s="31">
        <v>2025</v>
      </c>
      <c r="C229" s="33">
        <v>4</v>
      </c>
      <c r="D229" s="11">
        <v>9</v>
      </c>
      <c r="E229" s="18" t="s">
        <v>25</v>
      </c>
      <c r="F229" s="18" t="s">
        <v>19</v>
      </c>
      <c r="G229" s="13" t="s">
        <v>60</v>
      </c>
    </row>
    <row r="230" spans="1:7" x14ac:dyDescent="0.25">
      <c r="A230" s="74">
        <v>60</v>
      </c>
      <c r="B230" s="31">
        <v>2025</v>
      </c>
      <c r="C230" s="33">
        <v>4</v>
      </c>
      <c r="D230" s="11">
        <v>9</v>
      </c>
      <c r="E230" s="18" t="s">
        <v>25</v>
      </c>
      <c r="F230" s="18" t="s">
        <v>23</v>
      </c>
      <c r="G230" s="13" t="s">
        <v>60</v>
      </c>
    </row>
    <row r="231" spans="1:7" x14ac:dyDescent="0.25">
      <c r="A231" s="74">
        <v>61</v>
      </c>
      <c r="B231" s="31">
        <v>2025</v>
      </c>
      <c r="C231" s="33">
        <v>4</v>
      </c>
      <c r="D231" s="11">
        <v>1</v>
      </c>
      <c r="E231" s="18" t="s">
        <v>25</v>
      </c>
      <c r="F231" s="18" t="s">
        <v>16</v>
      </c>
      <c r="G231" s="13" t="s">
        <v>61</v>
      </c>
    </row>
    <row r="232" spans="1:7" x14ac:dyDescent="0.25">
      <c r="A232" s="74">
        <v>62</v>
      </c>
      <c r="B232" s="31">
        <v>2025</v>
      </c>
      <c r="C232" s="33">
        <v>4</v>
      </c>
      <c r="D232" s="11">
        <v>8</v>
      </c>
      <c r="E232" s="18" t="s">
        <v>25</v>
      </c>
      <c r="F232" s="18" t="s">
        <v>19</v>
      </c>
      <c r="G232" s="13" t="s">
        <v>61</v>
      </c>
    </row>
    <row r="233" spans="1:7" x14ac:dyDescent="0.25">
      <c r="A233" s="74">
        <v>63</v>
      </c>
      <c r="B233" s="31">
        <v>2025</v>
      </c>
      <c r="C233" s="33">
        <v>4</v>
      </c>
      <c r="D233" s="11">
        <v>8</v>
      </c>
      <c r="E233" s="18" t="s">
        <v>25</v>
      </c>
      <c r="F233" s="18" t="s">
        <v>20</v>
      </c>
      <c r="G233" s="13" t="s">
        <v>61</v>
      </c>
    </row>
    <row r="234" spans="1:7" x14ac:dyDescent="0.25">
      <c r="A234" s="74">
        <v>69</v>
      </c>
      <c r="B234" s="31">
        <v>2025</v>
      </c>
      <c r="C234" s="33">
        <v>4</v>
      </c>
      <c r="D234" s="11">
        <v>11</v>
      </c>
      <c r="E234" s="18" t="s">
        <v>25</v>
      </c>
      <c r="F234" s="18" t="s">
        <v>22</v>
      </c>
      <c r="G234" s="13" t="s">
        <v>61</v>
      </c>
    </row>
    <row r="235" spans="1:7" x14ac:dyDescent="0.25">
      <c r="A235" s="74">
        <v>70</v>
      </c>
      <c r="B235" s="31">
        <v>2025</v>
      </c>
      <c r="C235" s="33">
        <v>4</v>
      </c>
      <c r="D235" s="11">
        <v>11</v>
      </c>
      <c r="E235" s="18" t="s">
        <v>25</v>
      </c>
      <c r="F235" s="18" t="s">
        <v>23</v>
      </c>
      <c r="G235" s="13" t="s">
        <v>61</v>
      </c>
    </row>
    <row r="236" spans="1:7" x14ac:dyDescent="0.25">
      <c r="A236" s="74">
        <v>79</v>
      </c>
      <c r="B236" s="31">
        <v>2025</v>
      </c>
      <c r="C236" s="33">
        <v>4</v>
      </c>
      <c r="D236" s="11">
        <v>29</v>
      </c>
      <c r="E236" s="18" t="s">
        <v>25</v>
      </c>
      <c r="F236" s="18" t="s">
        <v>22</v>
      </c>
      <c r="G236" s="13" t="s">
        <v>64</v>
      </c>
    </row>
    <row r="237" spans="1:7" x14ac:dyDescent="0.25">
      <c r="A237" s="74">
        <v>80</v>
      </c>
      <c r="B237" s="31">
        <v>2025</v>
      </c>
      <c r="C237" s="33">
        <v>4</v>
      </c>
      <c r="D237" s="11">
        <v>29</v>
      </c>
      <c r="E237" s="18" t="s">
        <v>25</v>
      </c>
      <c r="F237" s="18" t="s">
        <v>23</v>
      </c>
      <c r="G237" s="13" t="s">
        <v>64</v>
      </c>
    </row>
    <row r="238" spans="1:7" x14ac:dyDescent="0.25">
      <c r="A238" s="74">
        <v>83</v>
      </c>
      <c r="B238" s="31">
        <v>2025</v>
      </c>
      <c r="C238" s="33">
        <v>4</v>
      </c>
      <c r="D238" s="11">
        <v>30</v>
      </c>
      <c r="E238" s="18" t="s">
        <v>25</v>
      </c>
      <c r="F238" s="18" t="s">
        <v>20</v>
      </c>
      <c r="G238" s="13" t="s">
        <v>60</v>
      </c>
    </row>
    <row r="239" spans="1:7" x14ac:dyDescent="0.25">
      <c r="A239" s="74">
        <v>84</v>
      </c>
      <c r="B239" s="31">
        <v>2025</v>
      </c>
      <c r="C239" s="33">
        <v>5</v>
      </c>
      <c r="D239" s="11">
        <v>7</v>
      </c>
      <c r="E239" s="39" t="s">
        <v>25</v>
      </c>
      <c r="F239" s="39" t="s">
        <v>22</v>
      </c>
      <c r="G239" s="13" t="s">
        <v>60</v>
      </c>
    </row>
    <row r="240" spans="1:7" x14ac:dyDescent="0.25">
      <c r="A240" s="74">
        <v>110</v>
      </c>
      <c r="B240" s="31">
        <v>2025</v>
      </c>
      <c r="C240" s="33">
        <v>5</v>
      </c>
      <c r="D240" s="11">
        <v>30</v>
      </c>
      <c r="E240" s="18" t="s">
        <v>25</v>
      </c>
      <c r="F240" s="18" t="s">
        <v>19</v>
      </c>
      <c r="G240" s="13" t="s">
        <v>69</v>
      </c>
    </row>
    <row r="241" spans="1:7" x14ac:dyDescent="0.25">
      <c r="A241" s="74">
        <v>111</v>
      </c>
      <c r="B241" s="31">
        <v>2025</v>
      </c>
      <c r="C241" s="33">
        <v>5</v>
      </c>
      <c r="D241" s="11">
        <v>30</v>
      </c>
      <c r="E241" s="18" t="s">
        <v>25</v>
      </c>
      <c r="F241" s="18" t="s">
        <v>20</v>
      </c>
      <c r="G241" s="13" t="s">
        <v>69</v>
      </c>
    </row>
    <row r="242" spans="1:7" x14ac:dyDescent="0.25">
      <c r="A242" s="74">
        <v>120</v>
      </c>
      <c r="B242" s="31">
        <v>2025</v>
      </c>
      <c r="C242" s="33">
        <v>6</v>
      </c>
      <c r="D242" s="11">
        <v>6</v>
      </c>
      <c r="E242" s="18" t="s">
        <v>25</v>
      </c>
      <c r="F242" s="18" t="s">
        <v>22</v>
      </c>
      <c r="G242" s="13" t="s">
        <v>69</v>
      </c>
    </row>
    <row r="243" spans="1:7" x14ac:dyDescent="0.25">
      <c r="A243" s="74">
        <v>121</v>
      </c>
      <c r="B243" s="31">
        <v>2025</v>
      </c>
      <c r="C243" s="33">
        <v>6</v>
      </c>
      <c r="D243" s="11">
        <v>6</v>
      </c>
      <c r="E243" s="18" t="s">
        <v>25</v>
      </c>
      <c r="F243" s="18" t="s">
        <v>23</v>
      </c>
      <c r="G243" s="13" t="s">
        <v>69</v>
      </c>
    </row>
    <row r="244" spans="1:7" x14ac:dyDescent="0.25">
      <c r="A244" s="74">
        <v>122</v>
      </c>
      <c r="B244" s="31">
        <v>2025</v>
      </c>
      <c r="C244" s="33">
        <v>6</v>
      </c>
      <c r="D244" s="11">
        <v>9</v>
      </c>
      <c r="E244" s="18" t="s">
        <v>25</v>
      </c>
      <c r="F244" s="18" t="s">
        <v>27</v>
      </c>
      <c r="G244" s="13" t="s">
        <v>64</v>
      </c>
    </row>
    <row r="245" spans="1:7" x14ac:dyDescent="0.25">
      <c r="A245" s="74">
        <v>123</v>
      </c>
      <c r="B245" s="31">
        <v>2025</v>
      </c>
      <c r="C245" s="33">
        <v>6</v>
      </c>
      <c r="D245" s="11">
        <v>9</v>
      </c>
      <c r="E245" s="18" t="s">
        <v>25</v>
      </c>
      <c r="F245" s="18" t="s">
        <v>28</v>
      </c>
      <c r="G245" s="13" t="s">
        <v>64</v>
      </c>
    </row>
    <row r="246" spans="1:7" x14ac:dyDescent="0.25">
      <c r="A246" s="74">
        <v>129</v>
      </c>
      <c r="B246" s="31">
        <v>2025</v>
      </c>
      <c r="C246" s="33">
        <v>6</v>
      </c>
      <c r="D246" s="11">
        <v>2</v>
      </c>
      <c r="E246" s="18" t="s">
        <v>25</v>
      </c>
      <c r="F246" s="18" t="s">
        <v>16</v>
      </c>
      <c r="G246" s="39" t="s">
        <v>72</v>
      </c>
    </row>
    <row r="247" spans="1:7" x14ac:dyDescent="0.25">
      <c r="A247" s="74">
        <v>130</v>
      </c>
      <c r="B247" s="31">
        <v>2025</v>
      </c>
      <c r="C247" s="33">
        <v>6</v>
      </c>
      <c r="D247" s="11">
        <v>3</v>
      </c>
      <c r="E247" s="12" t="s">
        <v>25</v>
      </c>
      <c r="F247" s="12" t="s">
        <v>19</v>
      </c>
      <c r="G247" s="53" t="s">
        <v>72</v>
      </c>
    </row>
    <row r="248" spans="1:7" x14ac:dyDescent="0.25">
      <c r="A248" s="74">
        <v>131</v>
      </c>
      <c r="B248" s="31">
        <v>2025</v>
      </c>
      <c r="C248" s="33">
        <v>6</v>
      </c>
      <c r="D248" s="11">
        <v>3</v>
      </c>
      <c r="E248" s="18" t="s">
        <v>25</v>
      </c>
      <c r="F248" s="18" t="s">
        <v>20</v>
      </c>
      <c r="G248" s="53" t="s">
        <v>72</v>
      </c>
    </row>
    <row r="249" spans="1:7" x14ac:dyDescent="0.25">
      <c r="A249" s="74">
        <v>132</v>
      </c>
      <c r="B249" s="31">
        <v>2025</v>
      </c>
      <c r="C249" s="33">
        <v>6</v>
      </c>
      <c r="D249" s="11">
        <v>4</v>
      </c>
      <c r="E249" s="18" t="s">
        <v>25</v>
      </c>
      <c r="F249" s="18" t="s">
        <v>22</v>
      </c>
      <c r="G249" s="39" t="s">
        <v>72</v>
      </c>
    </row>
    <row r="250" spans="1:7" x14ac:dyDescent="0.25">
      <c r="A250" s="74">
        <v>133</v>
      </c>
      <c r="B250" s="31">
        <v>2025</v>
      </c>
      <c r="C250" s="33">
        <v>6</v>
      </c>
      <c r="D250" s="11">
        <v>4</v>
      </c>
      <c r="E250" s="18" t="s">
        <v>25</v>
      </c>
      <c r="F250" s="18" t="s">
        <v>23</v>
      </c>
      <c r="G250" s="39" t="s">
        <v>72</v>
      </c>
    </row>
    <row r="251" spans="1:7" x14ac:dyDescent="0.25">
      <c r="A251" s="74">
        <v>134</v>
      </c>
      <c r="B251" s="31">
        <v>2025</v>
      </c>
      <c r="C251" s="33">
        <v>6</v>
      </c>
      <c r="D251" s="11">
        <v>17</v>
      </c>
      <c r="E251" s="18" t="s">
        <v>25</v>
      </c>
      <c r="F251" s="18" t="s">
        <v>16</v>
      </c>
      <c r="G251" s="13" t="s">
        <v>73</v>
      </c>
    </row>
    <row r="252" spans="1:7" x14ac:dyDescent="0.25">
      <c r="A252" s="74">
        <v>148</v>
      </c>
      <c r="B252" s="31">
        <v>2025</v>
      </c>
      <c r="C252" s="33">
        <v>7</v>
      </c>
      <c r="D252" s="11">
        <v>1</v>
      </c>
      <c r="E252" s="18" t="s">
        <v>25</v>
      </c>
      <c r="F252" s="18" t="s">
        <v>16</v>
      </c>
      <c r="G252" s="13" t="s">
        <v>76</v>
      </c>
    </row>
    <row r="253" spans="1:7" x14ac:dyDescent="0.25">
      <c r="A253" s="74">
        <v>151</v>
      </c>
      <c r="B253" s="31">
        <v>2025</v>
      </c>
      <c r="C253" s="33">
        <v>7</v>
      </c>
      <c r="D253" s="11">
        <v>2</v>
      </c>
      <c r="E253" s="18" t="s">
        <v>25</v>
      </c>
      <c r="F253" s="18" t="s">
        <v>19</v>
      </c>
      <c r="G253" s="13" t="s">
        <v>78</v>
      </c>
    </row>
    <row r="254" spans="1:7" x14ac:dyDescent="0.25">
      <c r="A254" s="74">
        <v>152</v>
      </c>
      <c r="B254" s="31">
        <v>2025</v>
      </c>
      <c r="C254" s="33">
        <v>7</v>
      </c>
      <c r="D254" s="11">
        <v>2</v>
      </c>
      <c r="E254" s="18" t="s">
        <v>25</v>
      </c>
      <c r="F254" s="18" t="s">
        <v>20</v>
      </c>
      <c r="G254" s="13" t="s">
        <v>78</v>
      </c>
    </row>
    <row r="255" spans="1:7" x14ac:dyDescent="0.25">
      <c r="A255" s="74">
        <v>155</v>
      </c>
      <c r="B255" s="31">
        <v>2025</v>
      </c>
      <c r="C255" s="33">
        <v>7</v>
      </c>
      <c r="D255" s="11">
        <v>3</v>
      </c>
      <c r="E255" s="18" t="s">
        <v>25</v>
      </c>
      <c r="F255" s="18" t="s">
        <v>19</v>
      </c>
      <c r="G255" s="13" t="s">
        <v>76</v>
      </c>
    </row>
    <row r="256" spans="1:7" x14ac:dyDescent="0.25">
      <c r="A256" s="74">
        <v>156</v>
      </c>
      <c r="B256" s="31">
        <v>2025</v>
      </c>
      <c r="C256" s="33">
        <v>7</v>
      </c>
      <c r="D256" s="11">
        <v>3</v>
      </c>
      <c r="E256" s="18" t="s">
        <v>25</v>
      </c>
      <c r="F256" s="18" t="s">
        <v>20</v>
      </c>
      <c r="G256" s="13" t="s">
        <v>76</v>
      </c>
    </row>
    <row r="257" spans="1:7" x14ac:dyDescent="0.25">
      <c r="A257" s="74">
        <v>165</v>
      </c>
      <c r="B257" s="31">
        <v>2025</v>
      </c>
      <c r="C257" s="33">
        <v>7</v>
      </c>
      <c r="D257" s="11">
        <v>8</v>
      </c>
      <c r="E257" s="18" t="s">
        <v>25</v>
      </c>
      <c r="F257" s="18" t="s">
        <v>22</v>
      </c>
      <c r="G257" s="13" t="s">
        <v>82</v>
      </c>
    </row>
    <row r="258" spans="1:7" x14ac:dyDescent="0.25">
      <c r="A258" s="74">
        <v>166</v>
      </c>
      <c r="B258" s="31">
        <v>2025</v>
      </c>
      <c r="C258" s="33">
        <v>7</v>
      </c>
      <c r="D258" s="11">
        <v>8</v>
      </c>
      <c r="E258" s="18" t="s">
        <v>25</v>
      </c>
      <c r="F258" s="18" t="s">
        <v>23</v>
      </c>
      <c r="G258" s="13" t="s">
        <v>82</v>
      </c>
    </row>
    <row r="259" spans="1:7" x14ac:dyDescent="0.25">
      <c r="A259" s="74">
        <v>171</v>
      </c>
      <c r="B259" s="31">
        <v>2025</v>
      </c>
      <c r="C259" s="33">
        <v>7</v>
      </c>
      <c r="D259" s="11">
        <v>10</v>
      </c>
      <c r="E259" s="18" t="s">
        <v>25</v>
      </c>
      <c r="F259" s="18" t="s">
        <v>19</v>
      </c>
      <c r="G259" s="13" t="s">
        <v>82</v>
      </c>
    </row>
    <row r="260" spans="1:7" x14ac:dyDescent="0.25">
      <c r="A260" s="74">
        <v>172</v>
      </c>
      <c r="B260" s="31">
        <v>2025</v>
      </c>
      <c r="C260" s="33">
        <v>7</v>
      </c>
      <c r="D260" s="11">
        <v>10</v>
      </c>
      <c r="E260" s="18" t="s">
        <v>25</v>
      </c>
      <c r="F260" s="18" t="s">
        <v>20</v>
      </c>
      <c r="G260" s="13" t="s">
        <v>82</v>
      </c>
    </row>
    <row r="261" spans="1:7" x14ac:dyDescent="0.25">
      <c r="A261" s="74">
        <v>183</v>
      </c>
      <c r="B261" s="31">
        <v>2025</v>
      </c>
      <c r="C261" s="33">
        <v>7</v>
      </c>
      <c r="D261" s="11">
        <v>18</v>
      </c>
      <c r="E261" s="18" t="s">
        <v>25</v>
      </c>
      <c r="F261" s="18" t="s">
        <v>35</v>
      </c>
      <c r="G261" s="39" t="s">
        <v>69</v>
      </c>
    </row>
    <row r="262" spans="1:7" x14ac:dyDescent="0.25">
      <c r="A262" s="74">
        <v>184</v>
      </c>
      <c r="B262" s="31">
        <v>2025</v>
      </c>
      <c r="C262" s="33">
        <v>7</v>
      </c>
      <c r="D262" s="11">
        <v>18</v>
      </c>
      <c r="E262" s="18" t="s">
        <v>25</v>
      </c>
      <c r="F262" s="18" t="s">
        <v>27</v>
      </c>
      <c r="G262" s="39" t="s">
        <v>69</v>
      </c>
    </row>
    <row r="263" spans="1:7" x14ac:dyDescent="0.25">
      <c r="A263" s="74">
        <v>188</v>
      </c>
      <c r="B263" s="31">
        <v>2025</v>
      </c>
      <c r="C263" s="33">
        <v>7</v>
      </c>
      <c r="D263" s="11">
        <v>17</v>
      </c>
      <c r="E263" s="18" t="s">
        <v>25</v>
      </c>
      <c r="F263" s="18" t="s">
        <v>84</v>
      </c>
      <c r="G263" s="13" t="s">
        <v>67</v>
      </c>
    </row>
    <row r="264" spans="1:7" x14ac:dyDescent="0.25">
      <c r="A264" s="74">
        <v>189</v>
      </c>
      <c r="B264" s="31">
        <v>2025</v>
      </c>
      <c r="C264" s="33">
        <v>7</v>
      </c>
      <c r="D264" s="11">
        <v>17</v>
      </c>
      <c r="E264" s="18" t="s">
        <v>25</v>
      </c>
      <c r="F264" s="12" t="s">
        <v>28</v>
      </c>
      <c r="G264" s="13" t="s">
        <v>67</v>
      </c>
    </row>
    <row r="265" spans="1:7" x14ac:dyDescent="0.25">
      <c r="A265" s="74">
        <v>192</v>
      </c>
      <c r="B265" s="31">
        <v>2025</v>
      </c>
      <c r="C265" s="33">
        <v>7</v>
      </c>
      <c r="D265" s="11">
        <v>23</v>
      </c>
      <c r="E265" s="18" t="s">
        <v>25</v>
      </c>
      <c r="F265" s="18" t="s">
        <v>27</v>
      </c>
      <c r="G265" s="13" t="s">
        <v>60</v>
      </c>
    </row>
    <row r="266" spans="1:7" x14ac:dyDescent="0.25">
      <c r="A266" s="74">
        <v>193</v>
      </c>
      <c r="B266" s="31">
        <v>2025</v>
      </c>
      <c r="C266" s="33">
        <v>7</v>
      </c>
      <c r="D266" s="11">
        <v>23</v>
      </c>
      <c r="E266" s="18" t="s">
        <v>25</v>
      </c>
      <c r="F266" s="18" t="s">
        <v>35</v>
      </c>
      <c r="G266" s="13" t="s">
        <v>60</v>
      </c>
    </row>
    <row r="267" spans="1:7" x14ac:dyDescent="0.25">
      <c r="A267" s="74">
        <v>211</v>
      </c>
      <c r="B267" s="31">
        <v>2025</v>
      </c>
      <c r="C267" s="33">
        <v>8</v>
      </c>
      <c r="D267" s="11">
        <v>1</v>
      </c>
      <c r="E267" s="18" t="s">
        <v>25</v>
      </c>
      <c r="F267" s="18" t="s">
        <v>16</v>
      </c>
      <c r="G267" s="13" t="s">
        <v>88</v>
      </c>
    </row>
    <row r="268" spans="1:7" x14ac:dyDescent="0.25">
      <c r="A268" s="74">
        <v>244</v>
      </c>
      <c r="B268" s="31">
        <v>2025</v>
      </c>
      <c r="C268" s="33">
        <v>8</v>
      </c>
      <c r="D268" s="11">
        <v>21</v>
      </c>
      <c r="E268" s="18" t="s">
        <v>25</v>
      </c>
      <c r="F268" s="18" t="s">
        <v>16</v>
      </c>
      <c r="G268" s="39" t="s">
        <v>96</v>
      </c>
    </row>
    <row r="269" spans="1:7" x14ac:dyDescent="0.25">
      <c r="A269" s="74">
        <v>245</v>
      </c>
      <c r="B269" s="31">
        <v>2025</v>
      </c>
      <c r="C269" s="33">
        <v>8</v>
      </c>
      <c r="D269" s="11">
        <v>28</v>
      </c>
      <c r="E269" s="18" t="s">
        <v>25</v>
      </c>
      <c r="F269" s="18" t="s">
        <v>19</v>
      </c>
      <c r="G269" s="39" t="s">
        <v>96</v>
      </c>
    </row>
    <row r="270" spans="1:7" x14ac:dyDescent="0.25">
      <c r="A270" s="74">
        <v>246</v>
      </c>
      <c r="B270" s="31">
        <v>2025</v>
      </c>
      <c r="C270" s="33">
        <v>8</v>
      </c>
      <c r="D270" s="11">
        <v>28</v>
      </c>
      <c r="E270" s="18" t="s">
        <v>25</v>
      </c>
      <c r="F270" s="18" t="s">
        <v>20</v>
      </c>
      <c r="G270" s="39" t="s">
        <v>96</v>
      </c>
    </row>
    <row r="271" spans="1:7" x14ac:dyDescent="0.25">
      <c r="A271" s="74">
        <v>256</v>
      </c>
      <c r="B271" s="31">
        <v>2025</v>
      </c>
      <c r="C271" s="33">
        <v>9</v>
      </c>
      <c r="D271" s="11">
        <v>4</v>
      </c>
      <c r="E271" s="18" t="s">
        <v>25</v>
      </c>
      <c r="F271" s="18" t="s">
        <v>19</v>
      </c>
      <c r="G271" s="13" t="s">
        <v>98</v>
      </c>
    </row>
    <row r="272" spans="1:7" x14ac:dyDescent="0.25">
      <c r="A272" s="74">
        <v>257</v>
      </c>
      <c r="B272" s="31">
        <v>2025</v>
      </c>
      <c r="C272" s="33">
        <v>9</v>
      </c>
      <c r="D272" s="11">
        <v>4</v>
      </c>
      <c r="E272" s="18" t="s">
        <v>25</v>
      </c>
      <c r="F272" s="18" t="s">
        <v>20</v>
      </c>
      <c r="G272" s="13" t="s">
        <v>98</v>
      </c>
    </row>
    <row r="273" spans="1:7" x14ac:dyDescent="0.25">
      <c r="A273" s="74">
        <v>275</v>
      </c>
      <c r="B273" s="31">
        <v>2025</v>
      </c>
      <c r="C273" s="33">
        <v>9</v>
      </c>
      <c r="D273" s="11">
        <v>10</v>
      </c>
      <c r="E273" s="18" t="s">
        <v>25</v>
      </c>
      <c r="F273" s="18" t="s">
        <v>22</v>
      </c>
      <c r="G273" s="39" t="s">
        <v>96</v>
      </c>
    </row>
    <row r="274" spans="1:7" x14ac:dyDescent="0.25">
      <c r="A274" s="74">
        <v>276</v>
      </c>
      <c r="B274" s="31">
        <v>2025</v>
      </c>
      <c r="C274" s="33">
        <v>9</v>
      </c>
      <c r="D274" s="11">
        <v>10</v>
      </c>
      <c r="E274" s="18" t="s">
        <v>25</v>
      </c>
      <c r="F274" s="18" t="s">
        <v>23</v>
      </c>
      <c r="G274" s="39" t="s">
        <v>96</v>
      </c>
    </row>
    <row r="275" spans="1:7" x14ac:dyDescent="0.25">
      <c r="A275" s="74">
        <v>284</v>
      </c>
      <c r="B275" s="31">
        <v>2025</v>
      </c>
      <c r="C275" s="33">
        <v>9</v>
      </c>
      <c r="D275" s="11">
        <v>11</v>
      </c>
      <c r="E275" s="18" t="s">
        <v>25</v>
      </c>
      <c r="F275" s="18" t="s">
        <v>16</v>
      </c>
      <c r="G275" s="13" t="s">
        <v>105</v>
      </c>
    </row>
    <row r="276" spans="1:7" x14ac:dyDescent="0.25">
      <c r="A276" s="74">
        <v>308</v>
      </c>
      <c r="B276" s="31">
        <v>2025</v>
      </c>
      <c r="C276" s="33">
        <v>9</v>
      </c>
      <c r="D276" s="11">
        <v>16</v>
      </c>
      <c r="E276" s="18" t="s">
        <v>25</v>
      </c>
      <c r="F276" s="18" t="s">
        <v>20</v>
      </c>
      <c r="G276" s="39" t="s">
        <v>106</v>
      </c>
    </row>
    <row r="277" spans="1:7" x14ac:dyDescent="0.25">
      <c r="A277" s="74">
        <v>309</v>
      </c>
      <c r="B277" s="31">
        <v>2025</v>
      </c>
      <c r="C277" s="33">
        <v>9</v>
      </c>
      <c r="D277" s="11">
        <v>16</v>
      </c>
      <c r="E277" s="18" t="s">
        <v>25</v>
      </c>
      <c r="F277" s="18" t="s">
        <v>19</v>
      </c>
      <c r="G277" s="39" t="s">
        <v>106</v>
      </c>
    </row>
    <row r="278" spans="1:7" x14ac:dyDescent="0.25">
      <c r="A278" s="74">
        <v>313</v>
      </c>
      <c r="B278" s="31">
        <v>2025</v>
      </c>
      <c r="C278" s="33">
        <v>9</v>
      </c>
      <c r="D278" s="11">
        <v>25</v>
      </c>
      <c r="E278" s="12" t="s">
        <v>25</v>
      </c>
      <c r="F278" s="12" t="s">
        <v>19</v>
      </c>
      <c r="G278" s="39" t="s">
        <v>107</v>
      </c>
    </row>
    <row r="279" spans="1:7" x14ac:dyDescent="0.25">
      <c r="A279" s="74">
        <v>314</v>
      </c>
      <c r="B279" s="31">
        <v>2025</v>
      </c>
      <c r="C279" s="33">
        <v>9</v>
      </c>
      <c r="D279" s="11">
        <v>25</v>
      </c>
      <c r="E279" s="18" t="s">
        <v>25</v>
      </c>
      <c r="F279" s="18" t="s">
        <v>20</v>
      </c>
      <c r="G279" s="39" t="s">
        <v>107</v>
      </c>
    </row>
    <row r="280" spans="1:7" x14ac:dyDescent="0.25">
      <c r="A280" s="74">
        <v>324</v>
      </c>
      <c r="B280" s="31">
        <v>2025</v>
      </c>
      <c r="C280" s="33">
        <v>10</v>
      </c>
      <c r="D280" s="11">
        <v>1</v>
      </c>
      <c r="E280" s="18" t="s">
        <v>25</v>
      </c>
      <c r="F280" s="18" t="s">
        <v>27</v>
      </c>
      <c r="G280" s="39" t="s">
        <v>106</v>
      </c>
    </row>
    <row r="281" spans="1:7" x14ac:dyDescent="0.25">
      <c r="A281" s="74">
        <v>332</v>
      </c>
      <c r="B281" s="31">
        <v>2025</v>
      </c>
      <c r="C281" s="33">
        <v>10</v>
      </c>
      <c r="D281" s="11">
        <v>2</v>
      </c>
      <c r="E281" s="18" t="s">
        <v>25</v>
      </c>
      <c r="F281" s="18" t="s">
        <v>16</v>
      </c>
      <c r="G281" s="13" t="s">
        <v>110</v>
      </c>
    </row>
    <row r="282" spans="1:7" x14ac:dyDescent="0.25">
      <c r="A282" s="74">
        <v>333</v>
      </c>
      <c r="B282" s="31">
        <v>2025</v>
      </c>
      <c r="C282" s="33">
        <v>10</v>
      </c>
      <c r="D282" s="11">
        <v>9</v>
      </c>
      <c r="E282" s="18" t="s">
        <v>25</v>
      </c>
      <c r="F282" s="18" t="s">
        <v>22</v>
      </c>
      <c r="G282" s="13" t="s">
        <v>110</v>
      </c>
    </row>
    <row r="283" spans="1:7" x14ac:dyDescent="0.25">
      <c r="A283" s="74">
        <v>334</v>
      </c>
      <c r="B283" s="31">
        <v>2025</v>
      </c>
      <c r="C283" s="33">
        <v>10</v>
      </c>
      <c r="D283" s="11">
        <v>9</v>
      </c>
      <c r="E283" s="18" t="s">
        <v>25</v>
      </c>
      <c r="F283" s="18" t="s">
        <v>23</v>
      </c>
      <c r="G283" s="13" t="s">
        <v>110</v>
      </c>
    </row>
    <row r="284" spans="1:7" x14ac:dyDescent="0.25">
      <c r="A284" s="74">
        <v>335</v>
      </c>
      <c r="B284" s="31">
        <v>2025</v>
      </c>
      <c r="C284" s="33">
        <v>10</v>
      </c>
      <c r="D284" s="11">
        <v>16</v>
      </c>
      <c r="E284" s="18" t="s">
        <v>25</v>
      </c>
      <c r="F284" s="18" t="s">
        <v>19</v>
      </c>
      <c r="G284" s="13" t="s">
        <v>110</v>
      </c>
    </row>
    <row r="285" spans="1:7" x14ac:dyDescent="0.25">
      <c r="A285" s="74">
        <v>336</v>
      </c>
      <c r="B285" s="31">
        <v>2025</v>
      </c>
      <c r="C285" s="33">
        <v>10</v>
      </c>
      <c r="D285" s="11">
        <v>16</v>
      </c>
      <c r="E285" s="18" t="s">
        <v>25</v>
      </c>
      <c r="F285" s="18" t="s">
        <v>20</v>
      </c>
      <c r="G285" s="13" t="s">
        <v>110</v>
      </c>
    </row>
    <row r="286" spans="1:7" x14ac:dyDescent="0.25">
      <c r="A286" s="74">
        <v>337</v>
      </c>
      <c r="B286" s="31">
        <v>2025</v>
      </c>
      <c r="C286" s="33">
        <v>10</v>
      </c>
      <c r="D286" s="11">
        <v>14</v>
      </c>
      <c r="E286" s="18" t="s">
        <v>25</v>
      </c>
      <c r="F286" s="18" t="s">
        <v>16</v>
      </c>
      <c r="G286" s="39" t="s">
        <v>111</v>
      </c>
    </row>
    <row r="287" spans="1:7" x14ac:dyDescent="0.25">
      <c r="A287" s="74">
        <v>338</v>
      </c>
      <c r="B287" s="31">
        <v>2025</v>
      </c>
      <c r="C287" s="33">
        <v>10</v>
      </c>
      <c r="D287" s="11">
        <v>21</v>
      </c>
      <c r="E287" s="18" t="s">
        <v>25</v>
      </c>
      <c r="F287" s="18" t="s">
        <v>19</v>
      </c>
      <c r="G287" s="39" t="s">
        <v>111</v>
      </c>
    </row>
    <row r="288" spans="1:7" x14ac:dyDescent="0.25">
      <c r="A288" s="74">
        <v>339</v>
      </c>
      <c r="B288" s="31">
        <v>2025</v>
      </c>
      <c r="C288" s="33">
        <v>10</v>
      </c>
      <c r="D288" s="11">
        <v>21</v>
      </c>
      <c r="E288" s="18" t="s">
        <v>25</v>
      </c>
      <c r="F288" s="18" t="s">
        <v>20</v>
      </c>
      <c r="G288" s="39" t="s">
        <v>111</v>
      </c>
    </row>
    <row r="289" spans="1:8" x14ac:dyDescent="0.25">
      <c r="A289" s="74">
        <v>340</v>
      </c>
      <c r="B289" s="31">
        <v>2025</v>
      </c>
      <c r="C289" s="33">
        <v>10</v>
      </c>
      <c r="D289" s="11">
        <v>28</v>
      </c>
      <c r="E289" s="18" t="s">
        <v>25</v>
      </c>
      <c r="F289" s="18" t="s">
        <v>22</v>
      </c>
      <c r="G289" s="39" t="s">
        <v>111</v>
      </c>
    </row>
    <row r="290" spans="1:8" x14ac:dyDescent="0.25">
      <c r="A290" s="74">
        <v>341</v>
      </c>
      <c r="B290" s="31">
        <v>2025</v>
      </c>
      <c r="C290" s="33">
        <v>10</v>
      </c>
      <c r="D290" s="11">
        <v>28</v>
      </c>
      <c r="E290" s="18" t="s">
        <v>25</v>
      </c>
      <c r="F290" s="18" t="s">
        <v>23</v>
      </c>
      <c r="G290" s="39" t="s">
        <v>111</v>
      </c>
    </row>
    <row r="291" spans="1:8" x14ac:dyDescent="0.25">
      <c r="A291" s="74">
        <v>352</v>
      </c>
      <c r="B291" s="31">
        <v>2025</v>
      </c>
      <c r="C291" s="33">
        <v>10</v>
      </c>
      <c r="D291" s="11">
        <v>3</v>
      </c>
      <c r="E291" s="18" t="s">
        <v>25</v>
      </c>
      <c r="F291" s="18" t="s">
        <v>16</v>
      </c>
      <c r="G291" s="13" t="s">
        <v>113</v>
      </c>
    </row>
    <row r="292" spans="1:8" x14ac:dyDescent="0.25">
      <c r="A292" s="74">
        <v>362</v>
      </c>
      <c r="B292" s="31">
        <v>2025</v>
      </c>
      <c r="C292" s="33">
        <v>10</v>
      </c>
      <c r="D292" s="11">
        <v>31</v>
      </c>
      <c r="E292" s="18" t="s">
        <v>25</v>
      </c>
      <c r="F292" s="18" t="s">
        <v>16</v>
      </c>
      <c r="G292" s="69" t="s">
        <v>115</v>
      </c>
    </row>
    <row r="293" spans="1:8" x14ac:dyDescent="0.25">
      <c r="A293" s="74">
        <v>376</v>
      </c>
      <c r="B293" s="31">
        <v>2025</v>
      </c>
      <c r="C293" s="33">
        <v>11</v>
      </c>
      <c r="D293" s="11">
        <v>25</v>
      </c>
      <c r="E293" s="18" t="s">
        <v>25</v>
      </c>
      <c r="F293" s="18" t="s">
        <v>27</v>
      </c>
      <c r="G293" s="13" t="s">
        <v>93</v>
      </c>
    </row>
    <row r="294" spans="1:8" x14ac:dyDescent="0.25">
      <c r="A294" s="74">
        <v>377</v>
      </c>
      <c r="B294" s="31">
        <v>2025</v>
      </c>
      <c r="C294" s="33">
        <v>11</v>
      </c>
      <c r="D294" s="11">
        <v>25</v>
      </c>
      <c r="E294" s="18" t="s">
        <v>25</v>
      </c>
      <c r="F294" s="18" t="s">
        <v>84</v>
      </c>
      <c r="G294" s="13" t="s">
        <v>93</v>
      </c>
    </row>
    <row r="295" spans="1:8" x14ac:dyDescent="0.25">
      <c r="A295" s="74">
        <v>381</v>
      </c>
      <c r="B295" s="31">
        <v>2025</v>
      </c>
      <c r="C295" s="33">
        <v>11</v>
      </c>
      <c r="D295" s="11">
        <v>5</v>
      </c>
      <c r="E295" s="18" t="s">
        <v>25</v>
      </c>
      <c r="F295" s="18" t="s">
        <v>27</v>
      </c>
      <c r="G295" s="39" t="s">
        <v>96</v>
      </c>
    </row>
    <row r="296" spans="1:8" x14ac:dyDescent="0.25">
      <c r="A296" s="74">
        <v>382</v>
      </c>
      <c r="B296" s="31">
        <v>2025</v>
      </c>
      <c r="C296" s="33">
        <v>11</v>
      </c>
      <c r="D296" s="11">
        <v>11</v>
      </c>
      <c r="E296" s="18" t="s">
        <v>25</v>
      </c>
      <c r="F296" s="18" t="s">
        <v>27</v>
      </c>
      <c r="G296" s="39" t="s">
        <v>111</v>
      </c>
    </row>
    <row r="297" spans="1:8" x14ac:dyDescent="0.25">
      <c r="A297" s="74">
        <v>385</v>
      </c>
      <c r="B297" s="31">
        <v>2025</v>
      </c>
      <c r="C297" s="33">
        <v>11</v>
      </c>
      <c r="D297" s="11">
        <v>6</v>
      </c>
      <c r="E297" s="18" t="s">
        <v>25</v>
      </c>
      <c r="F297" s="18" t="s">
        <v>27</v>
      </c>
      <c r="G297" s="13" t="s">
        <v>110</v>
      </c>
    </row>
    <row r="298" spans="1:8" x14ac:dyDescent="0.25">
      <c r="A298" s="74">
        <v>386</v>
      </c>
      <c r="B298" s="31">
        <v>2025</v>
      </c>
      <c r="C298" s="33">
        <v>11</v>
      </c>
      <c r="D298" s="11">
        <v>6</v>
      </c>
      <c r="E298" s="18" t="s">
        <v>25</v>
      </c>
      <c r="F298" s="18" t="s">
        <v>35</v>
      </c>
      <c r="G298" s="13" t="s">
        <v>110</v>
      </c>
    </row>
    <row r="299" spans="1:8" x14ac:dyDescent="0.25">
      <c r="A299" s="74">
        <v>390</v>
      </c>
      <c r="B299" s="31">
        <v>2025</v>
      </c>
      <c r="C299" s="33">
        <v>11</v>
      </c>
      <c r="D299" s="11">
        <v>17</v>
      </c>
      <c r="E299" s="18" t="s">
        <v>25</v>
      </c>
      <c r="F299" s="18" t="s">
        <v>27</v>
      </c>
      <c r="G299" s="13" t="s">
        <v>113</v>
      </c>
    </row>
    <row r="300" spans="1:8" x14ac:dyDescent="0.25">
      <c r="A300" s="74">
        <v>404</v>
      </c>
      <c r="B300" s="31">
        <v>2025</v>
      </c>
      <c r="C300" s="33">
        <v>12</v>
      </c>
      <c r="D300" s="11">
        <v>9</v>
      </c>
      <c r="E300" s="18" t="s">
        <v>25</v>
      </c>
      <c r="F300" s="18" t="s">
        <v>27</v>
      </c>
      <c r="G300" s="13" t="s">
        <v>89</v>
      </c>
    </row>
    <row r="301" spans="1:8" x14ac:dyDescent="0.25">
      <c r="A301" s="74">
        <v>408</v>
      </c>
      <c r="B301" s="31">
        <v>2025</v>
      </c>
      <c r="C301" s="33">
        <v>12</v>
      </c>
      <c r="D301" s="11">
        <v>1</v>
      </c>
      <c r="E301" s="18" t="s">
        <v>25</v>
      </c>
      <c r="F301" s="18" t="s">
        <v>27</v>
      </c>
      <c r="G301" s="13" t="s">
        <v>105</v>
      </c>
    </row>
    <row r="302" spans="1:8" x14ac:dyDescent="0.25">
      <c r="A302" s="74">
        <v>409</v>
      </c>
      <c r="B302" s="31">
        <v>2025</v>
      </c>
      <c r="C302" s="33">
        <v>12</v>
      </c>
      <c r="D302" s="11">
        <v>10</v>
      </c>
      <c r="E302" s="18" t="s">
        <v>25</v>
      </c>
      <c r="F302" s="18" t="s">
        <v>27</v>
      </c>
      <c r="G302" s="69" t="s">
        <v>115</v>
      </c>
      <c r="H302">
        <v>78</v>
      </c>
    </row>
    <row r="303" spans="1:8" x14ac:dyDescent="0.25">
      <c r="A303" s="74">
        <v>24</v>
      </c>
      <c r="B303" s="31">
        <v>2025</v>
      </c>
      <c r="C303" s="32">
        <v>3</v>
      </c>
      <c r="D303" s="11">
        <v>4</v>
      </c>
      <c r="E303" s="18" t="s">
        <v>45</v>
      </c>
      <c r="F303" s="18" t="s">
        <v>19</v>
      </c>
      <c r="G303" s="13" t="s">
        <v>30</v>
      </c>
    </row>
    <row r="304" spans="1:8" x14ac:dyDescent="0.25">
      <c r="A304" s="74">
        <v>25</v>
      </c>
      <c r="B304" s="31">
        <v>2025</v>
      </c>
      <c r="C304" s="32">
        <v>3</v>
      </c>
      <c r="D304" s="11">
        <v>4</v>
      </c>
      <c r="E304" s="18" t="s">
        <v>45</v>
      </c>
      <c r="F304" s="18" t="s">
        <v>20</v>
      </c>
      <c r="G304" s="13" t="s">
        <v>30</v>
      </c>
    </row>
    <row r="305" spans="1:7" x14ac:dyDescent="0.25">
      <c r="A305" s="74">
        <v>33</v>
      </c>
      <c r="B305" s="31">
        <v>2025</v>
      </c>
      <c r="C305" s="33">
        <v>3</v>
      </c>
      <c r="D305" s="11">
        <v>21</v>
      </c>
      <c r="E305" s="12" t="s">
        <v>45</v>
      </c>
      <c r="F305" s="12" t="s">
        <v>16</v>
      </c>
      <c r="G305" s="13" t="s">
        <v>47</v>
      </c>
    </row>
    <row r="306" spans="1:7" x14ac:dyDescent="0.25">
      <c r="A306" s="74">
        <v>35</v>
      </c>
      <c r="B306" s="31">
        <v>2025</v>
      </c>
      <c r="C306" s="33">
        <v>3</v>
      </c>
      <c r="D306" s="11">
        <v>28</v>
      </c>
      <c r="E306" s="18" t="s">
        <v>45</v>
      </c>
      <c r="F306" s="18" t="s">
        <v>19</v>
      </c>
      <c r="G306" s="13" t="s">
        <v>47</v>
      </c>
    </row>
    <row r="307" spans="1:7" x14ac:dyDescent="0.25">
      <c r="A307" s="74">
        <v>36</v>
      </c>
      <c r="B307" s="31">
        <v>2025</v>
      </c>
      <c r="C307" s="33">
        <v>3</v>
      </c>
      <c r="D307" s="11">
        <v>28</v>
      </c>
      <c r="E307" s="18" t="s">
        <v>45</v>
      </c>
      <c r="F307" s="18" t="s">
        <v>20</v>
      </c>
      <c r="G307" s="13" t="s">
        <v>47</v>
      </c>
    </row>
    <row r="308" spans="1:7" x14ac:dyDescent="0.25">
      <c r="A308" s="74">
        <v>41</v>
      </c>
      <c r="B308" s="31">
        <v>2025</v>
      </c>
      <c r="C308" s="33">
        <v>4</v>
      </c>
      <c r="D308" s="11">
        <v>1</v>
      </c>
      <c r="E308" s="18" t="s">
        <v>45</v>
      </c>
      <c r="F308" s="18" t="s">
        <v>19</v>
      </c>
      <c r="G308" s="13" t="s">
        <v>48</v>
      </c>
    </row>
    <row r="309" spans="1:7" x14ac:dyDescent="0.25">
      <c r="A309" s="74">
        <v>42</v>
      </c>
      <c r="B309" s="31">
        <v>2025</v>
      </c>
      <c r="C309" s="33">
        <v>4</v>
      </c>
      <c r="D309" s="11">
        <v>1</v>
      </c>
      <c r="E309" s="18" t="s">
        <v>45</v>
      </c>
      <c r="F309" s="18" t="s">
        <v>20</v>
      </c>
      <c r="G309" s="13" t="s">
        <v>48</v>
      </c>
    </row>
    <row r="310" spans="1:7" x14ac:dyDescent="0.25">
      <c r="A310" s="74">
        <v>47</v>
      </c>
      <c r="B310" s="31">
        <v>2025</v>
      </c>
      <c r="C310" s="33">
        <v>4</v>
      </c>
      <c r="D310" s="11">
        <v>2</v>
      </c>
      <c r="E310" s="18" t="s">
        <v>45</v>
      </c>
      <c r="F310" s="18" t="s">
        <v>22</v>
      </c>
      <c r="G310" s="13" t="s">
        <v>47</v>
      </c>
    </row>
    <row r="311" spans="1:7" x14ac:dyDescent="0.25">
      <c r="A311" s="74">
        <v>48</v>
      </c>
      <c r="B311" s="31">
        <v>2025</v>
      </c>
      <c r="C311" s="33">
        <v>4</v>
      </c>
      <c r="D311" s="11">
        <v>2</v>
      </c>
      <c r="E311" s="18" t="s">
        <v>45</v>
      </c>
      <c r="F311" s="18" t="s">
        <v>23</v>
      </c>
      <c r="G311" s="13" t="s">
        <v>47</v>
      </c>
    </row>
    <row r="312" spans="1:7" x14ac:dyDescent="0.25">
      <c r="A312" s="74">
        <v>55</v>
      </c>
      <c r="B312" s="31">
        <v>2025</v>
      </c>
      <c r="C312" s="33">
        <v>4</v>
      </c>
      <c r="D312" s="11">
        <v>11</v>
      </c>
      <c r="E312" s="18" t="s">
        <v>45</v>
      </c>
      <c r="F312" s="18" t="s">
        <v>22</v>
      </c>
      <c r="G312" s="13" t="s">
        <v>57</v>
      </c>
    </row>
    <row r="313" spans="1:7" x14ac:dyDescent="0.25">
      <c r="A313" s="74">
        <v>56</v>
      </c>
      <c r="B313" s="31">
        <v>2025</v>
      </c>
      <c r="C313" s="33">
        <v>4</v>
      </c>
      <c r="D313" s="11">
        <v>11</v>
      </c>
      <c r="E313" s="18" t="s">
        <v>45</v>
      </c>
      <c r="F313" s="18" t="s">
        <v>23</v>
      </c>
      <c r="G313" s="13" t="s">
        <v>57</v>
      </c>
    </row>
    <row r="314" spans="1:7" x14ac:dyDescent="0.25">
      <c r="A314" s="74">
        <v>64</v>
      </c>
      <c r="B314" s="31">
        <v>2025</v>
      </c>
      <c r="C314" s="33">
        <v>4</v>
      </c>
      <c r="D314" s="11">
        <v>8</v>
      </c>
      <c r="E314" s="18" t="s">
        <v>45</v>
      </c>
      <c r="F314" s="18" t="s">
        <v>16</v>
      </c>
      <c r="G314" s="13" t="s">
        <v>62</v>
      </c>
    </row>
    <row r="315" spans="1:7" x14ac:dyDescent="0.25">
      <c r="A315" s="74">
        <v>65</v>
      </c>
      <c r="B315" s="31">
        <v>2025</v>
      </c>
      <c r="C315" s="33">
        <v>4</v>
      </c>
      <c r="D315" s="11">
        <v>9</v>
      </c>
      <c r="E315" s="18" t="s">
        <v>45</v>
      </c>
      <c r="F315" s="18" t="s">
        <v>19</v>
      </c>
      <c r="G315" s="13" t="s">
        <v>62</v>
      </c>
    </row>
    <row r="316" spans="1:7" x14ac:dyDescent="0.25">
      <c r="A316" s="74">
        <v>66</v>
      </c>
      <c r="B316" s="31">
        <v>2025</v>
      </c>
      <c r="C316" s="33">
        <v>4</v>
      </c>
      <c r="D316" s="11">
        <v>9</v>
      </c>
      <c r="E316" s="18" t="s">
        <v>45</v>
      </c>
      <c r="F316" s="18" t="s">
        <v>20</v>
      </c>
      <c r="G316" s="13" t="s">
        <v>62</v>
      </c>
    </row>
    <row r="317" spans="1:7" x14ac:dyDescent="0.25">
      <c r="A317" s="74">
        <v>67</v>
      </c>
      <c r="B317" s="31">
        <v>2025</v>
      </c>
      <c r="C317" s="33">
        <v>4</v>
      </c>
      <c r="D317" s="11">
        <v>10</v>
      </c>
      <c r="E317" s="18" t="s">
        <v>45</v>
      </c>
      <c r="F317" s="18" t="s">
        <v>22</v>
      </c>
      <c r="G317" s="13" t="s">
        <v>62</v>
      </c>
    </row>
    <row r="318" spans="1:7" x14ac:dyDescent="0.25">
      <c r="A318" s="74">
        <v>68</v>
      </c>
      <c r="B318" s="31">
        <v>2025</v>
      </c>
      <c r="C318" s="33">
        <v>4</v>
      </c>
      <c r="D318" s="11">
        <v>10</v>
      </c>
      <c r="E318" s="18" t="s">
        <v>45</v>
      </c>
      <c r="F318" s="18" t="s">
        <v>23</v>
      </c>
      <c r="G318" s="13" t="s">
        <v>62</v>
      </c>
    </row>
    <row r="319" spans="1:7" x14ac:dyDescent="0.25">
      <c r="A319" s="74">
        <v>72</v>
      </c>
      <c r="B319" s="31">
        <v>2025</v>
      </c>
      <c r="C319" s="33">
        <v>4</v>
      </c>
      <c r="D319" s="11">
        <v>18</v>
      </c>
      <c r="E319" s="18" t="s">
        <v>45</v>
      </c>
      <c r="F319" s="18" t="s">
        <v>19</v>
      </c>
      <c r="G319" s="13" t="s">
        <v>64</v>
      </c>
    </row>
    <row r="320" spans="1:7" x14ac:dyDescent="0.25">
      <c r="A320" s="74">
        <v>73</v>
      </c>
      <c r="B320" s="31">
        <v>2025</v>
      </c>
      <c r="C320" s="33">
        <v>4</v>
      </c>
      <c r="D320" s="11">
        <v>18</v>
      </c>
      <c r="E320" s="18" t="s">
        <v>45</v>
      </c>
      <c r="F320" s="18" t="s">
        <v>20</v>
      </c>
      <c r="G320" s="13" t="s">
        <v>64</v>
      </c>
    </row>
    <row r="321" spans="1:7" x14ac:dyDescent="0.25">
      <c r="A321" s="74">
        <v>88</v>
      </c>
      <c r="B321" s="31">
        <v>2025</v>
      </c>
      <c r="C321" s="33">
        <v>5</v>
      </c>
      <c r="D321" s="11">
        <v>15</v>
      </c>
      <c r="E321" s="18" t="s">
        <v>45</v>
      </c>
      <c r="F321" s="18" t="s">
        <v>27</v>
      </c>
      <c r="G321" s="13" t="s">
        <v>62</v>
      </c>
    </row>
    <row r="322" spans="1:7" x14ac:dyDescent="0.25">
      <c r="A322" s="74">
        <v>115</v>
      </c>
      <c r="B322" s="31">
        <v>2025</v>
      </c>
      <c r="C322" s="33">
        <v>6</v>
      </c>
      <c r="D322" s="11">
        <v>5</v>
      </c>
      <c r="E322" s="18" t="s">
        <v>45</v>
      </c>
      <c r="F322" s="18" t="s">
        <v>36</v>
      </c>
      <c r="G322" s="13" t="s">
        <v>62</v>
      </c>
    </row>
    <row r="323" spans="1:7" x14ac:dyDescent="0.25">
      <c r="A323" s="74">
        <v>124</v>
      </c>
      <c r="B323" s="31">
        <v>2025</v>
      </c>
      <c r="C323" s="33">
        <v>6</v>
      </c>
      <c r="D323" s="11">
        <v>3</v>
      </c>
      <c r="E323" s="18" t="s">
        <v>45</v>
      </c>
      <c r="F323" s="18" t="s">
        <v>16</v>
      </c>
      <c r="G323" s="39" t="s">
        <v>71</v>
      </c>
    </row>
    <row r="324" spans="1:7" x14ac:dyDescent="0.25">
      <c r="A324" s="74">
        <v>125</v>
      </c>
      <c r="B324" s="31">
        <v>2025</v>
      </c>
      <c r="C324" s="33">
        <v>6</v>
      </c>
      <c r="D324" s="11">
        <v>4</v>
      </c>
      <c r="E324" s="18" t="s">
        <v>45</v>
      </c>
      <c r="F324" s="18" t="s">
        <v>19</v>
      </c>
      <c r="G324" s="39" t="s">
        <v>71</v>
      </c>
    </row>
    <row r="325" spans="1:7" x14ac:dyDescent="0.25">
      <c r="A325" s="74">
        <v>126</v>
      </c>
      <c r="B325" s="31">
        <v>2025</v>
      </c>
      <c r="C325" s="33">
        <v>6</v>
      </c>
      <c r="D325" s="11">
        <v>4</v>
      </c>
      <c r="E325" s="18" t="s">
        <v>45</v>
      </c>
      <c r="F325" s="18" t="s">
        <v>20</v>
      </c>
      <c r="G325" s="39" t="s">
        <v>71</v>
      </c>
    </row>
    <row r="326" spans="1:7" x14ac:dyDescent="0.25">
      <c r="A326" s="74">
        <v>127</v>
      </c>
      <c r="B326" s="31">
        <v>2025</v>
      </c>
      <c r="C326" s="33">
        <v>6</v>
      </c>
      <c r="D326" s="11">
        <v>9</v>
      </c>
      <c r="E326" s="18" t="s">
        <v>45</v>
      </c>
      <c r="F326" s="18" t="s">
        <v>22</v>
      </c>
      <c r="G326" s="39" t="s">
        <v>71</v>
      </c>
    </row>
    <row r="327" spans="1:7" x14ac:dyDescent="0.25">
      <c r="A327" s="74">
        <v>128</v>
      </c>
      <c r="B327" s="31">
        <v>2025</v>
      </c>
      <c r="C327" s="33">
        <v>6</v>
      </c>
      <c r="D327" s="11">
        <v>9</v>
      </c>
      <c r="E327" s="18" t="s">
        <v>45</v>
      </c>
      <c r="F327" s="18" t="s">
        <v>23</v>
      </c>
      <c r="G327" s="39" t="s">
        <v>71</v>
      </c>
    </row>
    <row r="328" spans="1:7" x14ac:dyDescent="0.25">
      <c r="A328" s="74">
        <v>141</v>
      </c>
      <c r="B328" s="31">
        <v>2025</v>
      </c>
      <c r="C328" s="33">
        <v>6</v>
      </c>
      <c r="D328" s="11">
        <v>26</v>
      </c>
      <c r="E328" s="18" t="s">
        <v>45</v>
      </c>
      <c r="F328" s="18" t="s">
        <v>27</v>
      </c>
      <c r="G328" s="13" t="s">
        <v>47</v>
      </c>
    </row>
    <row r="329" spans="1:7" x14ac:dyDescent="0.25">
      <c r="A329" s="74">
        <v>154</v>
      </c>
      <c r="B329" s="31">
        <v>2025</v>
      </c>
      <c r="C329" s="33">
        <v>7</v>
      </c>
      <c r="D329" s="11">
        <v>2</v>
      </c>
      <c r="E329" s="12" t="s">
        <v>45</v>
      </c>
      <c r="F329" s="12" t="s">
        <v>75</v>
      </c>
      <c r="G329" s="13" t="s">
        <v>80</v>
      </c>
    </row>
    <row r="330" spans="1:7" x14ac:dyDescent="0.25">
      <c r="A330" s="74">
        <v>159</v>
      </c>
      <c r="B330" s="31">
        <v>2025</v>
      </c>
      <c r="C330" s="33">
        <v>7</v>
      </c>
      <c r="D330" s="11">
        <v>3</v>
      </c>
      <c r="E330" s="12" t="s">
        <v>45</v>
      </c>
      <c r="F330" s="12" t="s">
        <v>75</v>
      </c>
      <c r="G330" s="13" t="s">
        <v>47</v>
      </c>
    </row>
    <row r="331" spans="1:7" x14ac:dyDescent="0.25">
      <c r="A331" s="74">
        <v>162</v>
      </c>
      <c r="B331" s="31">
        <v>2025</v>
      </c>
      <c r="C331" s="33">
        <v>7</v>
      </c>
      <c r="D331" s="11">
        <v>1</v>
      </c>
      <c r="E331" s="18" t="s">
        <v>45</v>
      </c>
      <c r="F331" s="12" t="s">
        <v>75</v>
      </c>
      <c r="G331" s="13" t="s">
        <v>30</v>
      </c>
    </row>
    <row r="332" spans="1:7" x14ac:dyDescent="0.25">
      <c r="A332" s="74">
        <v>164</v>
      </c>
      <c r="B332" s="31">
        <v>2025</v>
      </c>
      <c r="C332" s="33">
        <v>7</v>
      </c>
      <c r="D332" s="11">
        <v>8</v>
      </c>
      <c r="E332" s="18" t="s">
        <v>45</v>
      </c>
      <c r="F332" s="18" t="s">
        <v>27</v>
      </c>
      <c r="G332" s="13" t="s">
        <v>66</v>
      </c>
    </row>
    <row r="333" spans="1:7" x14ac:dyDescent="0.25">
      <c r="A333" s="74">
        <v>169</v>
      </c>
      <c r="B333" s="31">
        <v>2025</v>
      </c>
      <c r="C333" s="33">
        <v>7</v>
      </c>
      <c r="D333" s="11">
        <v>9</v>
      </c>
      <c r="E333" s="18" t="s">
        <v>45</v>
      </c>
      <c r="F333" s="18" t="s">
        <v>19</v>
      </c>
      <c r="G333" s="13" t="s">
        <v>81</v>
      </c>
    </row>
    <row r="334" spans="1:7" x14ac:dyDescent="0.25">
      <c r="A334" s="74">
        <v>170</v>
      </c>
      <c r="B334" s="31">
        <v>2025</v>
      </c>
      <c r="C334" s="33">
        <v>7</v>
      </c>
      <c r="D334" s="11">
        <v>9</v>
      </c>
      <c r="E334" s="18" t="s">
        <v>45</v>
      </c>
      <c r="F334" s="18" t="s">
        <v>20</v>
      </c>
      <c r="G334" s="13" t="s">
        <v>81</v>
      </c>
    </row>
    <row r="335" spans="1:7" x14ac:dyDescent="0.25">
      <c r="A335" s="74">
        <v>186</v>
      </c>
      <c r="B335" s="31">
        <v>2025</v>
      </c>
      <c r="C335" s="33">
        <v>7</v>
      </c>
      <c r="D335" s="11">
        <v>17</v>
      </c>
      <c r="E335" s="18" t="s">
        <v>45</v>
      </c>
      <c r="F335" s="18" t="s">
        <v>27</v>
      </c>
      <c r="G335" s="13" t="s">
        <v>77</v>
      </c>
    </row>
    <row r="336" spans="1:7" x14ac:dyDescent="0.25">
      <c r="A336" s="74">
        <v>195</v>
      </c>
      <c r="B336" s="31">
        <v>2025</v>
      </c>
      <c r="C336" s="33">
        <v>7</v>
      </c>
      <c r="D336" s="11">
        <v>24</v>
      </c>
      <c r="E336" s="12" t="s">
        <v>45</v>
      </c>
      <c r="F336" s="18" t="s">
        <v>84</v>
      </c>
      <c r="G336" s="39" t="s">
        <v>66</v>
      </c>
    </row>
    <row r="337" spans="1:7" x14ac:dyDescent="0.25">
      <c r="A337" s="74">
        <v>199</v>
      </c>
      <c r="B337" s="31">
        <v>2025</v>
      </c>
      <c r="C337" s="33">
        <v>7</v>
      </c>
      <c r="D337" s="11">
        <v>30</v>
      </c>
      <c r="E337" s="18" t="s">
        <v>45</v>
      </c>
      <c r="F337" s="18" t="s">
        <v>22</v>
      </c>
      <c r="G337" s="13" t="s">
        <v>85</v>
      </c>
    </row>
    <row r="338" spans="1:7" x14ac:dyDescent="0.25">
      <c r="A338" s="74">
        <v>200</v>
      </c>
      <c r="B338" s="31">
        <v>2025</v>
      </c>
      <c r="C338" s="33">
        <v>7</v>
      </c>
      <c r="D338" s="11">
        <v>30</v>
      </c>
      <c r="E338" s="18" t="s">
        <v>45</v>
      </c>
      <c r="F338" s="18" t="s">
        <v>23</v>
      </c>
      <c r="G338" s="13" t="s">
        <v>85</v>
      </c>
    </row>
    <row r="339" spans="1:7" x14ac:dyDescent="0.25">
      <c r="A339" s="74">
        <v>216</v>
      </c>
      <c r="B339" s="31">
        <v>2025</v>
      </c>
      <c r="C339" s="33">
        <v>8</v>
      </c>
      <c r="D339" s="11">
        <v>1</v>
      </c>
      <c r="E339" s="18" t="s">
        <v>45</v>
      </c>
      <c r="F339" s="18" t="s">
        <v>16</v>
      </c>
      <c r="G339" s="13" t="s">
        <v>89</v>
      </c>
    </row>
    <row r="340" spans="1:7" x14ac:dyDescent="0.25">
      <c r="A340" s="74">
        <v>217</v>
      </c>
      <c r="B340" s="31">
        <v>2025</v>
      </c>
      <c r="C340" s="33">
        <v>8</v>
      </c>
      <c r="D340" s="11">
        <v>6</v>
      </c>
      <c r="E340" s="18" t="s">
        <v>45</v>
      </c>
      <c r="F340" s="18" t="s">
        <v>22</v>
      </c>
      <c r="G340" s="13" t="s">
        <v>89</v>
      </c>
    </row>
    <row r="341" spans="1:7" x14ac:dyDescent="0.25">
      <c r="A341" s="74">
        <v>218</v>
      </c>
      <c r="B341" s="31">
        <v>2025</v>
      </c>
      <c r="C341" s="33">
        <v>8</v>
      </c>
      <c r="D341" s="11">
        <v>6</v>
      </c>
      <c r="E341" s="18" t="s">
        <v>45</v>
      </c>
      <c r="F341" s="18" t="s">
        <v>23</v>
      </c>
      <c r="G341" s="13" t="s">
        <v>89</v>
      </c>
    </row>
    <row r="342" spans="1:7" x14ac:dyDescent="0.25">
      <c r="A342" s="74">
        <v>221</v>
      </c>
      <c r="B342" s="31">
        <v>2025</v>
      </c>
      <c r="C342" s="33">
        <v>8</v>
      </c>
      <c r="D342" s="11">
        <v>5</v>
      </c>
      <c r="E342" s="18" t="s">
        <v>45</v>
      </c>
      <c r="F342" s="18" t="s">
        <v>75</v>
      </c>
      <c r="G342" s="13" t="s">
        <v>74</v>
      </c>
    </row>
    <row r="343" spans="1:7" x14ac:dyDescent="0.25">
      <c r="A343" s="74">
        <v>223</v>
      </c>
      <c r="B343" s="31">
        <v>2025</v>
      </c>
      <c r="C343" s="33">
        <v>8</v>
      </c>
      <c r="D343" s="11">
        <v>7</v>
      </c>
      <c r="E343" s="18" t="s">
        <v>45</v>
      </c>
      <c r="F343" s="18" t="s">
        <v>75</v>
      </c>
      <c r="G343" s="13" t="s">
        <v>66</v>
      </c>
    </row>
    <row r="344" spans="1:7" x14ac:dyDescent="0.25">
      <c r="A344" s="74">
        <v>229</v>
      </c>
      <c r="B344" s="31">
        <v>2025</v>
      </c>
      <c r="C344" s="33">
        <v>8</v>
      </c>
      <c r="D344" s="11">
        <v>13</v>
      </c>
      <c r="E344" s="18" t="s">
        <v>45</v>
      </c>
      <c r="F344" s="18" t="s">
        <v>27</v>
      </c>
      <c r="G344" s="13" t="s">
        <v>83</v>
      </c>
    </row>
    <row r="345" spans="1:7" x14ac:dyDescent="0.25">
      <c r="A345" s="74">
        <v>230</v>
      </c>
      <c r="B345" s="31">
        <v>2025</v>
      </c>
      <c r="C345" s="33">
        <v>8</v>
      </c>
      <c r="D345" s="11">
        <v>14</v>
      </c>
      <c r="E345" s="18" t="s">
        <v>45</v>
      </c>
      <c r="F345" s="18" t="s">
        <v>75</v>
      </c>
      <c r="G345" s="13" t="s">
        <v>83</v>
      </c>
    </row>
    <row r="346" spans="1:7" x14ac:dyDescent="0.25">
      <c r="A346" s="74">
        <v>232</v>
      </c>
      <c r="B346" s="31">
        <v>2025</v>
      </c>
      <c r="C346" s="33">
        <v>8</v>
      </c>
      <c r="D346" s="11">
        <v>12</v>
      </c>
      <c r="E346" s="18" t="s">
        <v>45</v>
      </c>
      <c r="F346" s="18" t="s">
        <v>75</v>
      </c>
      <c r="G346" s="13" t="s">
        <v>73</v>
      </c>
    </row>
    <row r="347" spans="1:7" x14ac:dyDescent="0.25">
      <c r="A347" s="74">
        <v>233</v>
      </c>
      <c r="B347" s="31">
        <v>2025</v>
      </c>
      <c r="C347" s="33">
        <v>8</v>
      </c>
      <c r="D347" s="11">
        <v>20</v>
      </c>
      <c r="E347" s="18" t="s">
        <v>45</v>
      </c>
      <c r="F347" s="18" t="s">
        <v>27</v>
      </c>
      <c r="G347" s="39" t="s">
        <v>71</v>
      </c>
    </row>
    <row r="348" spans="1:7" x14ac:dyDescent="0.25">
      <c r="A348" s="74">
        <v>234</v>
      </c>
      <c r="B348" s="31">
        <v>2025</v>
      </c>
      <c r="C348" s="33">
        <v>8</v>
      </c>
      <c r="D348" s="11">
        <v>19</v>
      </c>
      <c r="E348" s="18" t="s">
        <v>45</v>
      </c>
      <c r="F348" s="18" t="s">
        <v>16</v>
      </c>
      <c r="G348" s="13" t="s">
        <v>92</v>
      </c>
    </row>
    <row r="349" spans="1:7" x14ac:dyDescent="0.25">
      <c r="A349" s="74">
        <v>235</v>
      </c>
      <c r="B349" s="31">
        <v>2025</v>
      </c>
      <c r="C349" s="33">
        <v>8</v>
      </c>
      <c r="D349" s="11">
        <v>22</v>
      </c>
      <c r="E349" s="18" t="s">
        <v>45</v>
      </c>
      <c r="F349" s="18" t="s">
        <v>19</v>
      </c>
      <c r="G349" s="13" t="s">
        <v>92</v>
      </c>
    </row>
    <row r="350" spans="1:7" x14ac:dyDescent="0.25">
      <c r="A350" s="74">
        <v>236</v>
      </c>
      <c r="B350" s="31">
        <v>2025</v>
      </c>
      <c r="C350" s="33">
        <v>8</v>
      </c>
      <c r="D350" s="11">
        <v>22</v>
      </c>
      <c r="E350" s="12" t="s">
        <v>45</v>
      </c>
      <c r="F350" s="18" t="s">
        <v>20</v>
      </c>
      <c r="G350" s="13" t="s">
        <v>92</v>
      </c>
    </row>
    <row r="351" spans="1:7" x14ac:dyDescent="0.25">
      <c r="A351" s="74">
        <v>237</v>
      </c>
      <c r="B351" s="31">
        <v>2025</v>
      </c>
      <c r="C351" s="33">
        <v>8</v>
      </c>
      <c r="D351" s="11">
        <v>27</v>
      </c>
      <c r="E351" s="12" t="s">
        <v>45</v>
      </c>
      <c r="F351" s="12" t="s">
        <v>22</v>
      </c>
      <c r="G351" s="13" t="s">
        <v>92</v>
      </c>
    </row>
    <row r="352" spans="1:7" x14ac:dyDescent="0.25">
      <c r="A352" s="74">
        <v>238</v>
      </c>
      <c r="B352" s="31">
        <v>2025</v>
      </c>
      <c r="C352" s="33">
        <v>8</v>
      </c>
      <c r="D352" s="11">
        <v>27</v>
      </c>
      <c r="E352" s="12" t="s">
        <v>45</v>
      </c>
      <c r="F352" s="12" t="s">
        <v>23</v>
      </c>
      <c r="G352" s="16" t="s">
        <v>92</v>
      </c>
    </row>
    <row r="353" spans="1:7" x14ac:dyDescent="0.25">
      <c r="A353" s="74">
        <v>247</v>
      </c>
      <c r="B353" s="31">
        <v>2025</v>
      </c>
      <c r="C353" s="33">
        <v>8</v>
      </c>
      <c r="D353" s="11">
        <v>4</v>
      </c>
      <c r="E353" s="12" t="s">
        <v>45</v>
      </c>
      <c r="F353" s="12" t="s">
        <v>22</v>
      </c>
      <c r="G353" s="16" t="s">
        <v>76</v>
      </c>
    </row>
    <row r="354" spans="1:7" x14ac:dyDescent="0.25">
      <c r="A354" s="74">
        <v>248</v>
      </c>
      <c r="B354" s="31">
        <v>2025</v>
      </c>
      <c r="C354" s="33">
        <v>8</v>
      </c>
      <c r="D354" s="11">
        <v>4</v>
      </c>
      <c r="E354" s="12" t="s">
        <v>45</v>
      </c>
      <c r="F354" s="18" t="s">
        <v>23</v>
      </c>
      <c r="G354" s="16" t="s">
        <v>76</v>
      </c>
    </row>
    <row r="355" spans="1:7" x14ac:dyDescent="0.25">
      <c r="A355" s="74">
        <v>249</v>
      </c>
      <c r="B355" s="31">
        <v>2025</v>
      </c>
      <c r="C355" s="33">
        <v>8</v>
      </c>
      <c r="D355" s="11">
        <v>26</v>
      </c>
      <c r="E355" s="12" t="s">
        <v>45</v>
      </c>
      <c r="F355" s="12" t="s">
        <v>75</v>
      </c>
      <c r="G355" s="53" t="s">
        <v>71</v>
      </c>
    </row>
    <row r="356" spans="1:7" x14ac:dyDescent="0.25">
      <c r="A356" s="74">
        <v>253</v>
      </c>
      <c r="B356" s="31">
        <v>2025</v>
      </c>
      <c r="C356" s="33">
        <v>9</v>
      </c>
      <c r="D356" s="11">
        <v>3</v>
      </c>
      <c r="E356" s="12" t="s">
        <v>45</v>
      </c>
      <c r="F356" s="12" t="s">
        <v>75</v>
      </c>
      <c r="G356" s="16" t="s">
        <v>78</v>
      </c>
    </row>
    <row r="357" spans="1:7" x14ac:dyDescent="0.25">
      <c r="A357" s="74">
        <v>258</v>
      </c>
      <c r="B357" s="31">
        <v>2025</v>
      </c>
      <c r="C357" s="33">
        <v>9</v>
      </c>
      <c r="D357" s="11">
        <v>4</v>
      </c>
      <c r="E357" s="12" t="s">
        <v>45</v>
      </c>
      <c r="F357" s="12" t="s">
        <v>16</v>
      </c>
      <c r="G357" s="39" t="s">
        <v>100</v>
      </c>
    </row>
    <row r="358" spans="1:7" x14ac:dyDescent="0.25">
      <c r="A358" s="74">
        <v>273</v>
      </c>
      <c r="B358" s="31">
        <v>2025</v>
      </c>
      <c r="C358" s="33">
        <v>9</v>
      </c>
      <c r="D358" s="11">
        <v>9</v>
      </c>
      <c r="E358" s="12" t="s">
        <v>45</v>
      </c>
      <c r="F358" s="12" t="s">
        <v>22</v>
      </c>
      <c r="G358" s="39" t="s">
        <v>100</v>
      </c>
    </row>
    <row r="359" spans="1:7" x14ac:dyDescent="0.25">
      <c r="A359" s="74">
        <v>274</v>
      </c>
      <c r="B359" s="31">
        <v>2025</v>
      </c>
      <c r="C359" s="33">
        <v>9</v>
      </c>
      <c r="D359" s="11">
        <v>9</v>
      </c>
      <c r="E359" s="12" t="s">
        <v>45</v>
      </c>
      <c r="F359" s="12" t="s">
        <v>23</v>
      </c>
      <c r="G359" s="39" t="s">
        <v>100</v>
      </c>
    </row>
    <row r="360" spans="1:7" x14ac:dyDescent="0.25">
      <c r="A360" s="74">
        <v>292</v>
      </c>
      <c r="B360" s="31">
        <v>2025</v>
      </c>
      <c r="C360" s="33">
        <v>9</v>
      </c>
      <c r="D360" s="11">
        <v>16</v>
      </c>
      <c r="E360" s="18" t="s">
        <v>45</v>
      </c>
      <c r="F360" s="12" t="s">
        <v>16</v>
      </c>
      <c r="G360" s="39" t="s">
        <v>101</v>
      </c>
    </row>
    <row r="361" spans="1:7" x14ac:dyDescent="0.25">
      <c r="A361" s="74">
        <v>295</v>
      </c>
      <c r="B361" s="31">
        <v>2025</v>
      </c>
      <c r="C361" s="33">
        <v>9</v>
      </c>
      <c r="D361" s="11">
        <v>18</v>
      </c>
      <c r="E361" s="18" t="s">
        <v>45</v>
      </c>
      <c r="F361" s="75" t="s">
        <v>22</v>
      </c>
      <c r="G361" s="13" t="s">
        <v>105</v>
      </c>
    </row>
    <row r="362" spans="1:7" x14ac:dyDescent="0.25">
      <c r="A362" s="74">
        <v>296</v>
      </c>
      <c r="B362" s="31">
        <v>2025</v>
      </c>
      <c r="C362" s="33">
        <v>9</v>
      </c>
      <c r="D362" s="11">
        <v>18</v>
      </c>
      <c r="E362" s="18" t="s">
        <v>45</v>
      </c>
      <c r="F362" s="75" t="s">
        <v>23</v>
      </c>
      <c r="G362" s="13" t="s">
        <v>105</v>
      </c>
    </row>
    <row r="363" spans="1:7" x14ac:dyDescent="0.25">
      <c r="A363" s="74">
        <v>310</v>
      </c>
      <c r="B363" s="31">
        <v>2025</v>
      </c>
      <c r="C363" s="33">
        <v>9</v>
      </c>
      <c r="D363" s="11">
        <v>24</v>
      </c>
      <c r="E363" s="18" t="s">
        <v>45</v>
      </c>
      <c r="F363" s="75" t="s">
        <v>22</v>
      </c>
      <c r="G363" s="39" t="s">
        <v>106</v>
      </c>
    </row>
    <row r="364" spans="1:7" x14ac:dyDescent="0.25">
      <c r="A364" s="74">
        <v>311</v>
      </c>
      <c r="B364" s="31">
        <v>2025</v>
      </c>
      <c r="C364" s="33">
        <v>9</v>
      </c>
      <c r="D364" s="11">
        <v>24</v>
      </c>
      <c r="E364" s="18" t="s">
        <v>45</v>
      </c>
      <c r="F364" s="75" t="s">
        <v>23</v>
      </c>
      <c r="G364" s="39" t="s">
        <v>106</v>
      </c>
    </row>
    <row r="365" spans="1:7" x14ac:dyDescent="0.25">
      <c r="A365" s="74">
        <v>312</v>
      </c>
      <c r="B365" s="31">
        <v>2025</v>
      </c>
      <c r="C365" s="33">
        <v>9</v>
      </c>
      <c r="D365" s="11">
        <v>17</v>
      </c>
      <c r="E365" s="18" t="s">
        <v>45</v>
      </c>
      <c r="F365" s="75" t="s">
        <v>16</v>
      </c>
      <c r="G365" s="39" t="s">
        <v>107</v>
      </c>
    </row>
    <row r="366" spans="1:7" x14ac:dyDescent="0.25">
      <c r="A366" s="74">
        <v>315</v>
      </c>
      <c r="B366" s="31">
        <v>2025</v>
      </c>
      <c r="C366" s="33">
        <v>9</v>
      </c>
      <c r="D366" s="11">
        <v>22</v>
      </c>
      <c r="E366" s="18" t="s">
        <v>45</v>
      </c>
      <c r="F366" s="75" t="s">
        <v>22</v>
      </c>
      <c r="G366" s="39" t="s">
        <v>107</v>
      </c>
    </row>
    <row r="367" spans="1:7" x14ac:dyDescent="0.25">
      <c r="A367" s="74">
        <v>316</v>
      </c>
      <c r="B367" s="31">
        <v>2025</v>
      </c>
      <c r="C367" s="33">
        <v>9</v>
      </c>
      <c r="D367" s="11">
        <v>22</v>
      </c>
      <c r="E367" s="18" t="s">
        <v>45</v>
      </c>
      <c r="F367" s="75" t="s">
        <v>23</v>
      </c>
      <c r="G367" s="39" t="s">
        <v>107</v>
      </c>
    </row>
    <row r="368" spans="1:7" x14ac:dyDescent="0.25">
      <c r="A368" s="74">
        <v>331</v>
      </c>
      <c r="B368" s="31">
        <v>2025</v>
      </c>
      <c r="C368" s="33">
        <v>10</v>
      </c>
      <c r="D368" s="11">
        <v>23</v>
      </c>
      <c r="E368" s="18" t="s">
        <v>45</v>
      </c>
      <c r="F368" s="75" t="s">
        <v>75</v>
      </c>
      <c r="G368" s="13" t="s">
        <v>109</v>
      </c>
    </row>
    <row r="369" spans="1:8" x14ac:dyDescent="0.25">
      <c r="A369" s="74">
        <v>350</v>
      </c>
      <c r="B369" s="31">
        <v>2025</v>
      </c>
      <c r="C369" s="33">
        <v>10</v>
      </c>
      <c r="D369" s="11">
        <v>10</v>
      </c>
      <c r="E369" s="18" t="s">
        <v>45</v>
      </c>
      <c r="F369" s="75" t="s">
        <v>27</v>
      </c>
      <c r="G369" s="13" t="s">
        <v>92</v>
      </c>
    </row>
    <row r="370" spans="1:8" x14ac:dyDescent="0.25">
      <c r="A370" s="74">
        <v>351</v>
      </c>
      <c r="B370" s="31">
        <v>2025</v>
      </c>
      <c r="C370" s="33">
        <v>10</v>
      </c>
      <c r="D370" s="11">
        <v>24</v>
      </c>
      <c r="E370" s="18" t="s">
        <v>45</v>
      </c>
      <c r="F370" s="75" t="s">
        <v>75</v>
      </c>
      <c r="G370" s="39" t="s">
        <v>101</v>
      </c>
    </row>
    <row r="371" spans="1:8" x14ac:dyDescent="0.25">
      <c r="A371" s="74">
        <v>353</v>
      </c>
      <c r="B371" s="31">
        <v>2025</v>
      </c>
      <c r="C371" s="33">
        <v>10</v>
      </c>
      <c r="D371" s="11">
        <v>8</v>
      </c>
      <c r="E371" s="18" t="s">
        <v>45</v>
      </c>
      <c r="F371" s="75" t="s">
        <v>19</v>
      </c>
      <c r="G371" s="13" t="s">
        <v>113</v>
      </c>
    </row>
    <row r="372" spans="1:8" x14ac:dyDescent="0.25">
      <c r="A372" s="74">
        <v>354</v>
      </c>
      <c r="B372" s="31">
        <v>2025</v>
      </c>
      <c r="C372" s="33">
        <v>10</v>
      </c>
      <c r="D372" s="11">
        <v>8</v>
      </c>
      <c r="E372" s="18" t="s">
        <v>45</v>
      </c>
      <c r="F372" s="75" t="s">
        <v>20</v>
      </c>
      <c r="G372" s="13" t="s">
        <v>113</v>
      </c>
    </row>
    <row r="373" spans="1:8" x14ac:dyDescent="0.25">
      <c r="A373" s="74">
        <v>369</v>
      </c>
      <c r="B373" s="31">
        <v>2025</v>
      </c>
      <c r="C373" s="33">
        <v>10</v>
      </c>
      <c r="D373" s="11">
        <v>20</v>
      </c>
      <c r="E373" s="18" t="s">
        <v>45</v>
      </c>
      <c r="F373" s="75" t="s">
        <v>27</v>
      </c>
      <c r="G373" s="39" t="s">
        <v>104</v>
      </c>
    </row>
    <row r="374" spans="1:8" x14ac:dyDescent="0.25">
      <c r="A374" s="74">
        <v>370</v>
      </c>
      <c r="B374" s="31">
        <v>2025</v>
      </c>
      <c r="C374" s="33">
        <v>11</v>
      </c>
      <c r="D374" s="11">
        <v>1</v>
      </c>
      <c r="E374" s="18" t="s">
        <v>45</v>
      </c>
      <c r="F374" s="75" t="s">
        <v>22</v>
      </c>
      <c r="G374" s="69" t="s">
        <v>115</v>
      </c>
    </row>
    <row r="375" spans="1:8" x14ac:dyDescent="0.25">
      <c r="A375" s="74">
        <v>371</v>
      </c>
      <c r="B375" s="31">
        <v>2025</v>
      </c>
      <c r="C375" s="33">
        <v>11</v>
      </c>
      <c r="D375" s="11">
        <v>1</v>
      </c>
      <c r="E375" s="18" t="s">
        <v>45</v>
      </c>
      <c r="F375" s="75" t="s">
        <v>23</v>
      </c>
      <c r="G375" s="69" t="s">
        <v>115</v>
      </c>
    </row>
    <row r="376" spans="1:8" x14ac:dyDescent="0.25">
      <c r="A376" s="74">
        <v>380</v>
      </c>
      <c r="B376" s="31">
        <v>2025</v>
      </c>
      <c r="C376" s="33">
        <v>11</v>
      </c>
      <c r="D376" s="11">
        <v>12</v>
      </c>
      <c r="E376" s="18" t="s">
        <v>45</v>
      </c>
      <c r="F376" s="75" t="s">
        <v>27</v>
      </c>
      <c r="G376" s="13" t="s">
        <v>98</v>
      </c>
    </row>
    <row r="377" spans="1:8" x14ac:dyDescent="0.25">
      <c r="A377" s="74">
        <v>406</v>
      </c>
      <c r="B377" s="31">
        <v>2025</v>
      </c>
      <c r="C377" s="33">
        <v>12</v>
      </c>
      <c r="D377" s="11">
        <v>2</v>
      </c>
      <c r="E377" s="18" t="s">
        <v>45</v>
      </c>
      <c r="F377" s="75" t="s">
        <v>27</v>
      </c>
      <c r="G377" s="39" t="s">
        <v>107</v>
      </c>
    </row>
    <row r="378" spans="1:8" x14ac:dyDescent="0.25">
      <c r="A378" s="74">
        <v>410</v>
      </c>
      <c r="B378" s="31">
        <v>2025</v>
      </c>
      <c r="C378" s="33">
        <v>12</v>
      </c>
      <c r="D378" s="11">
        <v>3</v>
      </c>
      <c r="E378" s="18" t="s">
        <v>45</v>
      </c>
      <c r="F378" s="75" t="s">
        <v>27</v>
      </c>
      <c r="G378" s="13" t="s">
        <v>114</v>
      </c>
    </row>
    <row r="379" spans="1:8" x14ac:dyDescent="0.25">
      <c r="A379" s="74">
        <v>411</v>
      </c>
      <c r="B379" s="31">
        <v>2025</v>
      </c>
      <c r="C379" s="33">
        <v>12</v>
      </c>
      <c r="D379" s="11">
        <v>1</v>
      </c>
      <c r="E379" s="18" t="s">
        <v>45</v>
      </c>
      <c r="F379" s="75" t="s">
        <v>27</v>
      </c>
      <c r="G379" s="13" t="s">
        <v>112</v>
      </c>
      <c r="H379">
        <v>77</v>
      </c>
    </row>
    <row r="380" spans="1:8" x14ac:dyDescent="0.25">
      <c r="A380" s="74">
        <v>71</v>
      </c>
      <c r="B380" s="31">
        <v>2025</v>
      </c>
      <c r="C380" s="33">
        <v>4</v>
      </c>
      <c r="D380" s="11">
        <v>14</v>
      </c>
      <c r="E380" s="18" t="s">
        <v>63</v>
      </c>
      <c r="F380" s="75" t="s">
        <v>16</v>
      </c>
      <c r="G380" s="13" t="s">
        <v>64</v>
      </c>
    </row>
    <row r="381" spans="1:8" x14ac:dyDescent="0.25">
      <c r="A381" s="74">
        <v>94</v>
      </c>
      <c r="B381" s="31">
        <v>2025</v>
      </c>
      <c r="C381" s="33">
        <v>5</v>
      </c>
      <c r="D381" s="11">
        <v>20</v>
      </c>
      <c r="E381" s="18" t="s">
        <v>63</v>
      </c>
      <c r="F381" s="75" t="s">
        <v>16</v>
      </c>
      <c r="G381" s="13" t="s">
        <v>68</v>
      </c>
    </row>
    <row r="382" spans="1:8" x14ac:dyDescent="0.25">
      <c r="A382" s="74">
        <v>95</v>
      </c>
      <c r="B382" s="31">
        <v>2025</v>
      </c>
      <c r="C382" s="33">
        <v>5</v>
      </c>
      <c r="D382" s="11">
        <v>22</v>
      </c>
      <c r="E382" s="18" t="s">
        <v>63</v>
      </c>
      <c r="F382" s="75" t="s">
        <v>19</v>
      </c>
      <c r="G382" s="13" t="s">
        <v>68</v>
      </c>
    </row>
    <row r="383" spans="1:8" x14ac:dyDescent="0.25">
      <c r="A383" s="74">
        <v>96</v>
      </c>
      <c r="B383" s="31">
        <v>2025</v>
      </c>
      <c r="C383" s="33">
        <v>5</v>
      </c>
      <c r="D383" s="11">
        <v>22</v>
      </c>
      <c r="E383" s="18" t="s">
        <v>63</v>
      </c>
      <c r="F383" s="75" t="s">
        <v>23</v>
      </c>
      <c r="G383" s="13" t="s">
        <v>68</v>
      </c>
    </row>
    <row r="384" spans="1:8" x14ac:dyDescent="0.25">
      <c r="A384" s="74">
        <v>107</v>
      </c>
      <c r="B384" s="31">
        <v>2025</v>
      </c>
      <c r="C384" s="33">
        <v>5</v>
      </c>
      <c r="D384" s="11">
        <v>27</v>
      </c>
      <c r="E384" s="18" t="s">
        <v>63</v>
      </c>
      <c r="F384" s="75" t="s">
        <v>22</v>
      </c>
      <c r="G384" s="13" t="s">
        <v>68</v>
      </c>
    </row>
    <row r="385" spans="1:7" x14ac:dyDescent="0.25">
      <c r="A385" s="74">
        <v>108</v>
      </c>
      <c r="B385" s="31">
        <v>2025</v>
      </c>
      <c r="C385" s="33">
        <v>5</v>
      </c>
      <c r="D385" s="11">
        <v>27</v>
      </c>
      <c r="E385" s="18" t="s">
        <v>63</v>
      </c>
      <c r="F385" s="75" t="s">
        <v>20</v>
      </c>
      <c r="G385" s="13" t="s">
        <v>68</v>
      </c>
    </row>
    <row r="386" spans="1:7" x14ac:dyDescent="0.25">
      <c r="A386" s="74">
        <v>153</v>
      </c>
      <c r="B386" s="31">
        <v>2025</v>
      </c>
      <c r="C386" s="33">
        <v>7</v>
      </c>
      <c r="D386" s="11">
        <v>2</v>
      </c>
      <c r="E386" s="18" t="s">
        <v>63</v>
      </c>
      <c r="F386" s="75" t="s">
        <v>27</v>
      </c>
      <c r="G386" s="39" t="s">
        <v>79</v>
      </c>
    </row>
    <row r="387" spans="1:7" x14ac:dyDescent="0.25">
      <c r="A387" s="74">
        <v>187</v>
      </c>
      <c r="B387" s="31">
        <v>2025</v>
      </c>
      <c r="C387" s="33">
        <v>7</v>
      </c>
      <c r="D387" s="11">
        <v>18</v>
      </c>
      <c r="E387" s="18" t="s">
        <v>63</v>
      </c>
      <c r="F387" s="75" t="s">
        <v>75</v>
      </c>
      <c r="G387" s="13" t="s">
        <v>68</v>
      </c>
    </row>
    <row r="388" spans="1:7" x14ac:dyDescent="0.25">
      <c r="A388" s="74">
        <v>212</v>
      </c>
      <c r="B388" s="31">
        <v>2025</v>
      </c>
      <c r="C388" s="33">
        <v>8</v>
      </c>
      <c r="D388" s="11">
        <v>4</v>
      </c>
      <c r="E388" s="18" t="s">
        <v>63</v>
      </c>
      <c r="F388" s="75" t="s">
        <v>19</v>
      </c>
      <c r="G388" s="13" t="s">
        <v>88</v>
      </c>
    </row>
    <row r="389" spans="1:7" x14ac:dyDescent="0.25">
      <c r="A389" s="74">
        <v>213</v>
      </c>
      <c r="B389" s="31">
        <v>2025</v>
      </c>
      <c r="C389" s="33">
        <v>8</v>
      </c>
      <c r="D389" s="11">
        <v>4</v>
      </c>
      <c r="E389" s="18" t="s">
        <v>63</v>
      </c>
      <c r="F389" s="75" t="s">
        <v>20</v>
      </c>
      <c r="G389" s="13" t="s">
        <v>88</v>
      </c>
    </row>
    <row r="390" spans="1:7" x14ac:dyDescent="0.25">
      <c r="A390" s="74">
        <v>214</v>
      </c>
      <c r="B390" s="31">
        <v>2025</v>
      </c>
      <c r="C390" s="33">
        <v>8</v>
      </c>
      <c r="D390" s="11">
        <v>5</v>
      </c>
      <c r="E390" s="18" t="s">
        <v>63</v>
      </c>
      <c r="F390" s="75" t="s">
        <v>23</v>
      </c>
      <c r="G390" s="16" t="s">
        <v>88</v>
      </c>
    </row>
    <row r="391" spans="1:7" x14ac:dyDescent="0.25">
      <c r="A391" s="74">
        <v>215</v>
      </c>
      <c r="B391" s="31">
        <v>2025</v>
      </c>
      <c r="C391" s="33">
        <v>8</v>
      </c>
      <c r="D391" s="11">
        <v>5</v>
      </c>
      <c r="E391" s="18" t="s">
        <v>63</v>
      </c>
      <c r="F391" s="75" t="s">
        <v>22</v>
      </c>
      <c r="G391" s="13" t="s">
        <v>88</v>
      </c>
    </row>
    <row r="392" spans="1:7" x14ac:dyDescent="0.25">
      <c r="A392" s="74">
        <v>224</v>
      </c>
      <c r="B392" s="31">
        <v>2025</v>
      </c>
      <c r="C392" s="33">
        <v>8</v>
      </c>
      <c r="D392" s="11">
        <v>12</v>
      </c>
      <c r="E392" s="18" t="s">
        <v>63</v>
      </c>
      <c r="F392" s="75" t="s">
        <v>16</v>
      </c>
      <c r="G392" s="39" t="s">
        <v>91</v>
      </c>
    </row>
    <row r="393" spans="1:7" x14ac:dyDescent="0.25">
      <c r="A393" s="74">
        <v>225</v>
      </c>
      <c r="B393" s="31">
        <v>2025</v>
      </c>
      <c r="C393" s="33">
        <v>8</v>
      </c>
      <c r="D393" s="11">
        <v>19</v>
      </c>
      <c r="E393" s="18" t="s">
        <v>63</v>
      </c>
      <c r="F393" s="75" t="s">
        <v>19</v>
      </c>
      <c r="G393" s="39" t="s">
        <v>91</v>
      </c>
    </row>
    <row r="394" spans="1:7" x14ac:dyDescent="0.25">
      <c r="A394" s="74">
        <v>226</v>
      </c>
      <c r="B394" s="31">
        <v>2025</v>
      </c>
      <c r="C394" s="33">
        <v>8</v>
      </c>
      <c r="D394" s="11">
        <v>21</v>
      </c>
      <c r="E394" s="18" t="s">
        <v>63</v>
      </c>
      <c r="F394" s="12" t="s">
        <v>22</v>
      </c>
      <c r="G394" s="39" t="s">
        <v>91</v>
      </c>
    </row>
    <row r="395" spans="1:7" x14ac:dyDescent="0.25">
      <c r="A395" s="74">
        <v>227</v>
      </c>
      <c r="B395" s="31">
        <v>2025</v>
      </c>
      <c r="C395" s="33">
        <v>8</v>
      </c>
      <c r="D395" s="11">
        <v>28</v>
      </c>
      <c r="E395" s="18" t="s">
        <v>63</v>
      </c>
      <c r="F395" s="75" t="s">
        <v>20</v>
      </c>
      <c r="G395" s="39" t="s">
        <v>91</v>
      </c>
    </row>
    <row r="396" spans="1:7" x14ac:dyDescent="0.25">
      <c r="A396" s="74">
        <v>228</v>
      </c>
      <c r="B396" s="31">
        <v>2025</v>
      </c>
      <c r="C396" s="33">
        <v>8</v>
      </c>
      <c r="D396" s="11">
        <v>28</v>
      </c>
      <c r="E396" s="18" t="s">
        <v>63</v>
      </c>
      <c r="F396" s="75" t="s">
        <v>23</v>
      </c>
      <c r="G396" s="39" t="s">
        <v>91</v>
      </c>
    </row>
    <row r="397" spans="1:7" x14ac:dyDescent="0.25">
      <c r="A397" s="74">
        <v>288</v>
      </c>
      <c r="B397" s="31">
        <v>2025</v>
      </c>
      <c r="C397" s="33">
        <v>9</v>
      </c>
      <c r="D397" s="11">
        <v>18</v>
      </c>
      <c r="E397" s="18" t="s">
        <v>63</v>
      </c>
      <c r="F397" s="75" t="s">
        <v>22</v>
      </c>
      <c r="G397" s="13" t="s">
        <v>95</v>
      </c>
    </row>
    <row r="398" spans="1:7" x14ac:dyDescent="0.25">
      <c r="A398" s="74">
        <v>289</v>
      </c>
      <c r="B398" s="31">
        <v>2025</v>
      </c>
      <c r="C398" s="33">
        <v>9</v>
      </c>
      <c r="D398" s="11">
        <v>18</v>
      </c>
      <c r="E398" s="18" t="s">
        <v>63</v>
      </c>
      <c r="F398" s="75" t="s">
        <v>23</v>
      </c>
      <c r="G398" s="13" t="s">
        <v>95</v>
      </c>
    </row>
    <row r="399" spans="1:7" x14ac:dyDescent="0.25">
      <c r="A399" s="74">
        <v>307</v>
      </c>
      <c r="B399" s="31">
        <v>2025</v>
      </c>
      <c r="C399" s="33">
        <v>9</v>
      </c>
      <c r="D399" s="11">
        <v>11</v>
      </c>
      <c r="E399" s="18" t="s">
        <v>63</v>
      </c>
      <c r="F399" s="75" t="s">
        <v>16</v>
      </c>
      <c r="G399" s="39" t="s">
        <v>106</v>
      </c>
    </row>
    <row r="400" spans="1:7" x14ac:dyDescent="0.25">
      <c r="A400" s="74">
        <v>317</v>
      </c>
      <c r="B400" s="31">
        <v>2025</v>
      </c>
      <c r="C400" s="33">
        <v>9</v>
      </c>
      <c r="D400" s="11">
        <v>15</v>
      </c>
      <c r="E400" s="18" t="s">
        <v>63</v>
      </c>
      <c r="F400" s="75" t="s">
        <v>16</v>
      </c>
      <c r="G400" s="13" t="s">
        <v>108</v>
      </c>
    </row>
    <row r="401" spans="1:8" x14ac:dyDescent="0.25">
      <c r="A401" s="74">
        <v>318</v>
      </c>
      <c r="B401" s="31">
        <v>2025</v>
      </c>
      <c r="C401" s="33">
        <v>9</v>
      </c>
      <c r="D401" s="11">
        <v>22</v>
      </c>
      <c r="E401" s="18" t="s">
        <v>63</v>
      </c>
      <c r="F401" s="75" t="s">
        <v>19</v>
      </c>
      <c r="G401" s="13" t="s">
        <v>108</v>
      </c>
    </row>
    <row r="402" spans="1:8" x14ac:dyDescent="0.25">
      <c r="A402" s="74">
        <v>319</v>
      </c>
      <c r="B402" s="31">
        <v>2025</v>
      </c>
      <c r="C402" s="33">
        <v>9</v>
      </c>
      <c r="D402" s="11">
        <v>22</v>
      </c>
      <c r="E402" s="18" t="s">
        <v>63</v>
      </c>
      <c r="F402" s="75" t="s">
        <v>20</v>
      </c>
      <c r="G402" s="13" t="s">
        <v>108</v>
      </c>
    </row>
    <row r="403" spans="1:8" x14ac:dyDescent="0.25">
      <c r="A403" s="74">
        <v>320</v>
      </c>
      <c r="B403" s="31">
        <v>2025</v>
      </c>
      <c r="C403" s="33">
        <v>9</v>
      </c>
      <c r="D403" s="11">
        <v>24</v>
      </c>
      <c r="E403" s="18" t="s">
        <v>63</v>
      </c>
      <c r="F403" s="75" t="s">
        <v>22</v>
      </c>
      <c r="G403" s="13" t="s">
        <v>108</v>
      </c>
    </row>
    <row r="404" spans="1:8" x14ac:dyDescent="0.25">
      <c r="A404" s="74">
        <v>321</v>
      </c>
      <c r="B404" s="31">
        <v>2025</v>
      </c>
      <c r="C404" s="33">
        <v>9</v>
      </c>
      <c r="D404" s="11">
        <v>24</v>
      </c>
      <c r="E404" s="18" t="s">
        <v>63</v>
      </c>
      <c r="F404" s="75" t="s">
        <v>23</v>
      </c>
      <c r="G404" s="13" t="s">
        <v>108</v>
      </c>
    </row>
    <row r="405" spans="1:8" x14ac:dyDescent="0.25">
      <c r="A405" s="74">
        <v>357</v>
      </c>
      <c r="B405" s="31">
        <v>2025</v>
      </c>
      <c r="C405" s="33">
        <v>10</v>
      </c>
      <c r="D405" s="11">
        <v>3</v>
      </c>
      <c r="E405" s="18" t="s">
        <v>63</v>
      </c>
      <c r="F405" s="75" t="s">
        <v>16</v>
      </c>
      <c r="G405" s="13" t="s">
        <v>114</v>
      </c>
    </row>
    <row r="406" spans="1:8" x14ac:dyDescent="0.25">
      <c r="A406" s="74">
        <v>389</v>
      </c>
      <c r="B406" s="31">
        <v>2025</v>
      </c>
      <c r="C406" s="33">
        <v>11</v>
      </c>
      <c r="D406" s="11">
        <v>24</v>
      </c>
      <c r="E406" s="18" t="s">
        <v>63</v>
      </c>
      <c r="F406" s="75" t="s">
        <v>27</v>
      </c>
      <c r="G406" s="13" t="s">
        <v>108</v>
      </c>
      <c r="H406">
        <v>26</v>
      </c>
    </row>
    <row r="407" spans="1:8" x14ac:dyDescent="0.25">
      <c r="A407" s="74">
        <v>328</v>
      </c>
      <c r="B407" s="31">
        <v>2025</v>
      </c>
      <c r="C407" s="33">
        <v>10</v>
      </c>
      <c r="D407" s="11">
        <v>7</v>
      </c>
      <c r="E407" s="18" t="s">
        <v>119</v>
      </c>
      <c r="F407" s="75" t="s">
        <v>19</v>
      </c>
      <c r="G407" s="13" t="s">
        <v>109</v>
      </c>
    </row>
    <row r="408" spans="1:8" x14ac:dyDescent="0.25">
      <c r="A408" s="74">
        <v>329</v>
      </c>
      <c r="B408" s="31">
        <v>2025</v>
      </c>
      <c r="C408" s="33">
        <v>10</v>
      </c>
      <c r="D408" s="11">
        <v>7</v>
      </c>
      <c r="E408" s="18" t="s">
        <v>119</v>
      </c>
      <c r="F408" s="75" t="s">
        <v>20</v>
      </c>
      <c r="G408" s="13" t="s">
        <v>109</v>
      </c>
    </row>
    <row r="409" spans="1:8" x14ac:dyDescent="0.25">
      <c r="A409" s="74">
        <v>372</v>
      </c>
      <c r="B409" s="31">
        <v>2025</v>
      </c>
      <c r="C409" s="33">
        <v>11</v>
      </c>
      <c r="D409" s="11">
        <v>5</v>
      </c>
      <c r="E409" s="18" t="s">
        <v>119</v>
      </c>
      <c r="F409" s="75" t="s">
        <v>19</v>
      </c>
      <c r="G409" s="69" t="s">
        <v>115</v>
      </c>
    </row>
    <row r="410" spans="1:8" x14ac:dyDescent="0.25">
      <c r="A410" s="74">
        <v>373</v>
      </c>
      <c r="B410" s="31">
        <v>2025</v>
      </c>
      <c r="C410" s="33">
        <v>11</v>
      </c>
      <c r="D410" s="11">
        <v>5</v>
      </c>
      <c r="E410" s="18" t="s">
        <v>119</v>
      </c>
      <c r="F410" s="75" t="s">
        <v>20</v>
      </c>
      <c r="G410" s="69" t="s">
        <v>115</v>
      </c>
    </row>
    <row r="411" spans="1:8" x14ac:dyDescent="0.25">
      <c r="A411" s="74">
        <v>383</v>
      </c>
      <c r="B411" s="31">
        <v>2025</v>
      </c>
      <c r="C411" s="33">
        <v>11</v>
      </c>
      <c r="D411" s="11">
        <v>18</v>
      </c>
      <c r="E411" s="18" t="s">
        <v>119</v>
      </c>
      <c r="F411" s="75" t="s">
        <v>27</v>
      </c>
      <c r="G411" s="39" t="s">
        <v>101</v>
      </c>
      <c r="H411">
        <v>5</v>
      </c>
    </row>
  </sheetData>
  <mergeCells count="1">
    <mergeCell ref="J1:K1"/>
  </mergeCells>
  <dataValidations count="2">
    <dataValidation type="list" allowBlank="1" showInputMessage="1" showErrorMessage="1" sqref="F1:F28 F30:F115" xr:uid="{D5A465B5-644A-476F-A8AE-FC9B9F1CE71A}">
      <formula1>"ЭИ,ДЦ,ФПП,ФОП,ОБП,РПУ,ПА,Картирование,5С,СР,СМЕД,АО,ОЕЕ,МРП"</formula1>
    </dataValidation>
    <dataValidation type="list" allowBlank="1" showInputMessage="1" showErrorMessage="1" sqref="F116:F411" xr:uid="{940401B9-60F0-4724-8076-1A9A6FCC3A05}">
      <formula1>"ФОП,ФПП,РПУ, ПА, ОБП, 5С, Картирование, ДЦ, ЭИЦ, СР, ОЕЕ, SMED, АО, Мет.реш.проблем"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5E115-4D0C-41F2-BF65-A4A0DA102DAB}">
  <dimension ref="A1:E12"/>
  <sheetViews>
    <sheetView workbookViewId="0">
      <selection activeCell="C19" sqref="C19"/>
    </sheetView>
  </sheetViews>
  <sheetFormatPr defaultRowHeight="15" x14ac:dyDescent="0.25"/>
  <cols>
    <col min="2" max="2" width="31.140625" customWidth="1"/>
    <col min="3" max="3" width="25.140625" customWidth="1"/>
    <col min="4" max="4" width="25" customWidth="1"/>
    <col min="5" max="5" width="10.5703125" customWidth="1"/>
  </cols>
  <sheetData>
    <row r="1" spans="1:5" x14ac:dyDescent="0.25">
      <c r="A1" s="28" t="s">
        <v>39</v>
      </c>
      <c r="B1" s="28" t="s">
        <v>40</v>
      </c>
      <c r="C1" s="28" t="s">
        <v>41</v>
      </c>
      <c r="D1" s="28" t="s">
        <v>42</v>
      </c>
      <c r="E1" s="28" t="s">
        <v>43</v>
      </c>
    </row>
    <row r="2" spans="1:5" x14ac:dyDescent="0.25">
      <c r="A2" s="4">
        <v>15</v>
      </c>
      <c r="B2" s="7" t="s">
        <v>18</v>
      </c>
      <c r="C2" s="7" t="s">
        <v>19</v>
      </c>
      <c r="D2" s="8" t="s">
        <v>17</v>
      </c>
      <c r="E2" s="10">
        <v>0.78</v>
      </c>
    </row>
    <row r="3" spans="1:5" x14ac:dyDescent="0.25">
      <c r="A3" s="4">
        <v>15</v>
      </c>
      <c r="B3" s="5" t="s">
        <v>18</v>
      </c>
      <c r="C3" s="5" t="s">
        <v>20</v>
      </c>
      <c r="D3" s="6" t="s">
        <v>17</v>
      </c>
      <c r="E3" s="10">
        <v>0.88</v>
      </c>
    </row>
    <row r="4" spans="1:5" x14ac:dyDescent="0.25">
      <c r="A4" s="4">
        <v>20</v>
      </c>
      <c r="B4" s="5" t="s">
        <v>18</v>
      </c>
      <c r="C4" s="5" t="s">
        <v>22</v>
      </c>
      <c r="D4" s="6" t="s">
        <v>17</v>
      </c>
      <c r="E4" s="10">
        <v>0.9</v>
      </c>
    </row>
    <row r="5" spans="1:5" x14ac:dyDescent="0.25">
      <c r="A5" s="4">
        <v>20</v>
      </c>
      <c r="B5" s="7" t="s">
        <v>18</v>
      </c>
      <c r="C5" s="7" t="s">
        <v>23</v>
      </c>
      <c r="D5" s="8" t="s">
        <v>17</v>
      </c>
      <c r="E5" s="10">
        <v>0.82</v>
      </c>
    </row>
    <row r="6" spans="1:5" x14ac:dyDescent="0.25">
      <c r="A6" s="4">
        <v>31</v>
      </c>
      <c r="B6" s="5" t="s">
        <v>18</v>
      </c>
      <c r="C6" s="5" t="s">
        <v>16</v>
      </c>
      <c r="D6" s="6" t="s">
        <v>24</v>
      </c>
      <c r="E6" s="10">
        <v>1</v>
      </c>
    </row>
    <row r="7" spans="1:5" x14ac:dyDescent="0.25">
      <c r="A7" s="4">
        <v>17</v>
      </c>
      <c r="B7" s="7" t="s">
        <v>15</v>
      </c>
      <c r="C7" s="7" t="s">
        <v>16</v>
      </c>
      <c r="D7" s="8" t="s">
        <v>21</v>
      </c>
      <c r="E7" s="9">
        <v>1</v>
      </c>
    </row>
    <row r="8" spans="1:5" x14ac:dyDescent="0.25">
      <c r="A8" s="4">
        <v>22</v>
      </c>
      <c r="B8" s="5" t="s">
        <v>15</v>
      </c>
      <c r="C8" s="5" t="s">
        <v>19</v>
      </c>
      <c r="D8" s="6" t="s">
        <v>21</v>
      </c>
      <c r="E8" s="10">
        <v>1</v>
      </c>
    </row>
    <row r="9" spans="1:5" x14ac:dyDescent="0.25">
      <c r="A9" s="4">
        <v>22</v>
      </c>
      <c r="B9" s="7" t="s">
        <v>15</v>
      </c>
      <c r="C9" s="7" t="s">
        <v>20</v>
      </c>
      <c r="D9" s="8" t="s">
        <v>21</v>
      </c>
      <c r="E9" s="10">
        <v>1</v>
      </c>
    </row>
    <row r="10" spans="1:5" x14ac:dyDescent="0.25">
      <c r="A10" s="4">
        <v>29</v>
      </c>
      <c r="B10" s="5" t="s">
        <v>15</v>
      </c>
      <c r="C10" s="5" t="s">
        <v>22</v>
      </c>
      <c r="D10" s="6" t="s">
        <v>21</v>
      </c>
      <c r="E10" s="10">
        <v>1</v>
      </c>
    </row>
    <row r="11" spans="1:5" x14ac:dyDescent="0.25">
      <c r="A11" s="4">
        <v>29</v>
      </c>
      <c r="B11" s="7" t="s">
        <v>15</v>
      </c>
      <c r="C11" s="7" t="s">
        <v>23</v>
      </c>
      <c r="D11" s="13" t="s">
        <v>21</v>
      </c>
      <c r="E11" s="10">
        <v>1</v>
      </c>
    </row>
    <row r="12" spans="1:5" x14ac:dyDescent="0.25">
      <c r="A12" s="4">
        <v>13</v>
      </c>
      <c r="B12" s="5" t="s">
        <v>15</v>
      </c>
      <c r="C12" s="5" t="s">
        <v>16</v>
      </c>
      <c r="D12" s="6" t="s">
        <v>17</v>
      </c>
      <c r="E12" s="9">
        <v>0.78</v>
      </c>
    </row>
  </sheetData>
  <sortState xmlns:xlrd2="http://schemas.microsoft.com/office/spreadsheetml/2017/richdata2" ref="A2:E12">
    <sortCondition ref="B2:B12"/>
  </sortState>
  <dataValidations count="1">
    <dataValidation type="list" allowBlank="1" showInputMessage="1" showErrorMessage="1" sqref="C2:C12" xr:uid="{B095B268-A8D9-40E0-A0B0-6E0483E55EE9}">
      <formula1>"ЭИ,ДЦ,ФПП,ФОП,ОБП,РПУ,ПА,Картирование,5С,СР,СМЕД,АО,ОЕЕ,МРП"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14EE3-B546-4D54-9315-1697609D7AC2}">
  <dimension ref="A1:E13"/>
  <sheetViews>
    <sheetView workbookViewId="0">
      <selection activeCell="E30" sqref="E30"/>
    </sheetView>
  </sheetViews>
  <sheetFormatPr defaultRowHeight="15" x14ac:dyDescent="0.25"/>
  <cols>
    <col min="1" max="1" width="10.42578125" customWidth="1"/>
    <col min="2" max="2" width="32.28515625" customWidth="1"/>
    <col min="3" max="3" width="31.28515625" customWidth="1"/>
    <col min="4" max="4" width="36.85546875" customWidth="1"/>
  </cols>
  <sheetData>
    <row r="1" spans="1:5" x14ac:dyDescent="0.25">
      <c r="A1" s="28" t="s">
        <v>39</v>
      </c>
      <c r="B1" s="28" t="s">
        <v>40</v>
      </c>
      <c r="C1" s="28" t="s">
        <v>41</v>
      </c>
      <c r="D1" s="28" t="s">
        <v>42</v>
      </c>
      <c r="E1" s="28" t="s">
        <v>43</v>
      </c>
    </row>
    <row r="2" spans="1:5" s="15" customFormat="1" x14ac:dyDescent="0.2">
      <c r="A2" s="11">
        <v>5</v>
      </c>
      <c r="B2" s="12" t="s">
        <v>18</v>
      </c>
      <c r="C2" s="12" t="s">
        <v>19</v>
      </c>
      <c r="D2" s="13" t="s">
        <v>24</v>
      </c>
      <c r="E2" s="14">
        <v>0.78</v>
      </c>
    </row>
    <row r="3" spans="1:5" s="15" customFormat="1" x14ac:dyDescent="0.2">
      <c r="A3" s="11">
        <v>5</v>
      </c>
      <c r="B3" s="12" t="s">
        <v>18</v>
      </c>
      <c r="C3" s="12" t="s">
        <v>20</v>
      </c>
      <c r="D3" s="13" t="s">
        <v>24</v>
      </c>
      <c r="E3" s="14">
        <v>1</v>
      </c>
    </row>
    <row r="4" spans="1:5" s="15" customFormat="1" x14ac:dyDescent="0.2">
      <c r="A4" s="11">
        <v>12</v>
      </c>
      <c r="B4" s="12" t="s">
        <v>18</v>
      </c>
      <c r="C4" s="12" t="s">
        <v>22</v>
      </c>
      <c r="D4" s="13" t="s">
        <v>24</v>
      </c>
      <c r="E4" s="14">
        <v>0.91</v>
      </c>
    </row>
    <row r="5" spans="1:5" s="15" customFormat="1" x14ac:dyDescent="0.2">
      <c r="A5" s="11">
        <v>12</v>
      </c>
      <c r="B5" s="12" t="s">
        <v>18</v>
      </c>
      <c r="C5" s="12" t="s">
        <v>23</v>
      </c>
      <c r="D5" s="13" t="s">
        <v>24</v>
      </c>
      <c r="E5" s="14">
        <v>1</v>
      </c>
    </row>
    <row r="6" spans="1:5" s="15" customFormat="1" x14ac:dyDescent="0.2">
      <c r="A6" s="11">
        <v>25</v>
      </c>
      <c r="B6" s="12" t="s">
        <v>18</v>
      </c>
      <c r="C6" s="12" t="s">
        <v>16</v>
      </c>
      <c r="D6" s="13" t="s">
        <v>30</v>
      </c>
      <c r="E6" s="14">
        <v>0.86</v>
      </c>
    </row>
    <row r="7" spans="1:5" s="15" customFormat="1" x14ac:dyDescent="0.2">
      <c r="A7" s="11">
        <v>14</v>
      </c>
      <c r="B7" s="12" t="s">
        <v>15</v>
      </c>
      <c r="C7" s="12" t="s">
        <v>22</v>
      </c>
      <c r="D7" s="13" t="s">
        <v>26</v>
      </c>
      <c r="E7" s="14">
        <v>1</v>
      </c>
    </row>
    <row r="8" spans="1:5" s="15" customFormat="1" x14ac:dyDescent="0.2">
      <c r="A8" s="11">
        <v>20</v>
      </c>
      <c r="B8" s="12" t="s">
        <v>15</v>
      </c>
      <c r="C8" s="12" t="s">
        <v>27</v>
      </c>
      <c r="D8" s="13" t="s">
        <v>17</v>
      </c>
      <c r="E8" s="14">
        <v>0.8</v>
      </c>
    </row>
    <row r="9" spans="1:5" s="15" customFormat="1" x14ac:dyDescent="0.2">
      <c r="A9" s="11">
        <v>24</v>
      </c>
      <c r="B9" s="12" t="s">
        <v>15</v>
      </c>
      <c r="C9" s="12" t="s">
        <v>28</v>
      </c>
      <c r="D9" s="13" t="s">
        <v>17</v>
      </c>
      <c r="E9" s="14">
        <v>0.9</v>
      </c>
    </row>
    <row r="10" spans="1:5" s="15" customFormat="1" x14ac:dyDescent="0.2">
      <c r="A10" s="11">
        <v>24</v>
      </c>
      <c r="B10" s="12" t="s">
        <v>15</v>
      </c>
      <c r="C10" s="12" t="s">
        <v>29</v>
      </c>
      <c r="D10" s="16" t="s">
        <v>17</v>
      </c>
      <c r="E10" s="14">
        <v>0.8</v>
      </c>
    </row>
    <row r="11" spans="1:5" s="15" customFormat="1" x14ac:dyDescent="0.2">
      <c r="A11" s="11">
        <v>11</v>
      </c>
      <c r="B11" s="12" t="s">
        <v>25</v>
      </c>
      <c r="C11" s="12" t="s">
        <v>16</v>
      </c>
      <c r="D11" s="16" t="s">
        <v>26</v>
      </c>
      <c r="E11" s="14">
        <v>1</v>
      </c>
    </row>
    <row r="12" spans="1:5" s="15" customFormat="1" x14ac:dyDescent="0.2">
      <c r="A12" s="17">
        <v>12</v>
      </c>
      <c r="B12" s="18" t="s">
        <v>25</v>
      </c>
      <c r="C12" s="18" t="s">
        <v>19</v>
      </c>
      <c r="D12" s="16" t="s">
        <v>26</v>
      </c>
      <c r="E12" s="14">
        <v>1</v>
      </c>
    </row>
    <row r="13" spans="1:5" s="15" customFormat="1" x14ac:dyDescent="0.2">
      <c r="A13" s="17">
        <v>12</v>
      </c>
      <c r="B13" s="18" t="s">
        <v>25</v>
      </c>
      <c r="C13" s="18" t="s">
        <v>20</v>
      </c>
      <c r="D13" s="13" t="s">
        <v>26</v>
      </c>
      <c r="E13" s="14">
        <v>0.88</v>
      </c>
    </row>
  </sheetData>
  <sortState xmlns:xlrd2="http://schemas.microsoft.com/office/spreadsheetml/2017/richdata2" ref="A2:E13">
    <sortCondition ref="B2:B13"/>
  </sortState>
  <dataValidations count="1">
    <dataValidation type="list" allowBlank="1" showInputMessage="1" showErrorMessage="1" sqref="C2:C13" xr:uid="{FDED8957-3CA0-412F-B60A-1645EBB6A9DA}">
      <formula1>"ЭИ,ДЦ,ФПП,ФОП,ОБП,РПУ,ПА,Картирование,5С,СР,СМЕД,АО,ОЕЕ,МРП"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77BE2-810C-4E1B-84C5-7FA1A40F764C}">
  <dimension ref="A1:G14"/>
  <sheetViews>
    <sheetView workbookViewId="0">
      <selection activeCell="E21" sqref="E21"/>
    </sheetView>
  </sheetViews>
  <sheetFormatPr defaultRowHeight="15" x14ac:dyDescent="0.25"/>
  <cols>
    <col min="4" max="4" width="29.140625" customWidth="1"/>
    <col min="5" max="5" width="22" customWidth="1"/>
    <col min="6" max="6" width="31" customWidth="1"/>
  </cols>
  <sheetData>
    <row r="1" spans="1:7" s="15" customFormat="1" x14ac:dyDescent="0.2">
      <c r="A1" s="31">
        <v>2025</v>
      </c>
      <c r="B1" s="33">
        <v>3</v>
      </c>
      <c r="C1" s="11">
        <v>18</v>
      </c>
      <c r="D1" s="12" t="s">
        <v>18</v>
      </c>
      <c r="E1" s="12" t="s">
        <v>22</v>
      </c>
      <c r="F1" s="13" t="s">
        <v>30</v>
      </c>
      <c r="G1" s="14">
        <v>0.83</v>
      </c>
    </row>
    <row r="2" spans="1:7" s="15" customFormat="1" x14ac:dyDescent="0.2">
      <c r="A2" s="31">
        <v>2025</v>
      </c>
      <c r="B2" s="33">
        <v>3</v>
      </c>
      <c r="C2" s="11">
        <v>19</v>
      </c>
      <c r="D2" s="12" t="s">
        <v>18</v>
      </c>
      <c r="E2" s="12" t="s">
        <v>22</v>
      </c>
      <c r="F2" s="13" t="s">
        <v>46</v>
      </c>
      <c r="G2" s="14">
        <v>0.83</v>
      </c>
    </row>
    <row r="3" spans="1:7" s="15" customFormat="1" x14ac:dyDescent="0.2">
      <c r="A3" s="31">
        <v>2025</v>
      </c>
      <c r="B3" s="33">
        <v>3</v>
      </c>
      <c r="C3" s="11">
        <v>14</v>
      </c>
      <c r="D3" s="12" t="s">
        <v>18</v>
      </c>
      <c r="E3" s="12" t="s">
        <v>16</v>
      </c>
      <c r="F3" s="13" t="s">
        <v>46</v>
      </c>
      <c r="G3" s="34">
        <v>1</v>
      </c>
    </row>
    <row r="4" spans="1:7" s="15" customFormat="1" x14ac:dyDescent="0.2">
      <c r="A4" s="31">
        <v>2025</v>
      </c>
      <c r="B4" s="33">
        <v>3</v>
      </c>
      <c r="C4" s="11">
        <v>27</v>
      </c>
      <c r="D4" s="12" t="s">
        <v>18</v>
      </c>
      <c r="E4" s="12" t="s">
        <v>16</v>
      </c>
      <c r="F4" s="13" t="s">
        <v>48</v>
      </c>
      <c r="G4" s="14">
        <v>0.82</v>
      </c>
    </row>
    <row r="5" spans="1:7" s="15" customFormat="1" x14ac:dyDescent="0.2">
      <c r="A5" s="31">
        <v>2025</v>
      </c>
      <c r="B5" s="33">
        <v>3</v>
      </c>
      <c r="C5" s="11">
        <v>17</v>
      </c>
      <c r="D5" s="12" t="s">
        <v>18</v>
      </c>
      <c r="E5" s="12" t="s">
        <v>23</v>
      </c>
      <c r="F5" s="13" t="s">
        <v>46</v>
      </c>
      <c r="G5" s="14">
        <v>1</v>
      </c>
    </row>
    <row r="6" spans="1:7" s="15" customFormat="1" x14ac:dyDescent="0.2">
      <c r="A6" s="31">
        <v>2025</v>
      </c>
      <c r="B6" s="33">
        <v>3</v>
      </c>
      <c r="C6" s="11">
        <v>18</v>
      </c>
      <c r="D6" s="12" t="s">
        <v>18</v>
      </c>
      <c r="E6" s="12" t="s">
        <v>23</v>
      </c>
      <c r="F6" s="13" t="s">
        <v>30</v>
      </c>
      <c r="G6" s="14">
        <v>0.8</v>
      </c>
    </row>
    <row r="7" spans="1:7" s="15" customFormat="1" x14ac:dyDescent="0.2">
      <c r="A7" s="31">
        <v>2025</v>
      </c>
      <c r="B7" s="33">
        <v>3</v>
      </c>
      <c r="C7" s="11">
        <v>19</v>
      </c>
      <c r="D7" s="12" t="s">
        <v>18</v>
      </c>
      <c r="E7" s="12" t="s">
        <v>23</v>
      </c>
      <c r="F7" s="13" t="s">
        <v>46</v>
      </c>
      <c r="G7" s="14">
        <v>0.73</v>
      </c>
    </row>
    <row r="8" spans="1:7" s="15" customFormat="1" x14ac:dyDescent="0.2">
      <c r="A8" s="31">
        <v>2025</v>
      </c>
      <c r="B8" s="33">
        <v>3</v>
      </c>
      <c r="C8" s="11">
        <v>17</v>
      </c>
      <c r="D8" s="12" t="s">
        <v>18</v>
      </c>
      <c r="E8" s="12" t="s">
        <v>19</v>
      </c>
      <c r="F8" s="13" t="s">
        <v>46</v>
      </c>
      <c r="G8" s="14">
        <v>0.88</v>
      </c>
    </row>
    <row r="9" spans="1:7" s="15" customFormat="1" x14ac:dyDescent="0.2">
      <c r="A9" s="31">
        <v>2025</v>
      </c>
      <c r="B9" s="33">
        <v>3</v>
      </c>
      <c r="C9" s="11">
        <v>28</v>
      </c>
      <c r="D9" s="12" t="s">
        <v>15</v>
      </c>
      <c r="E9" s="12" t="s">
        <v>27</v>
      </c>
      <c r="F9" s="13" t="s">
        <v>21</v>
      </c>
      <c r="G9" s="14">
        <v>1</v>
      </c>
    </row>
    <row r="10" spans="1:7" s="15" customFormat="1" x14ac:dyDescent="0.2">
      <c r="A10" s="31">
        <v>2025</v>
      </c>
      <c r="B10" s="33">
        <v>3</v>
      </c>
      <c r="C10" s="11">
        <v>28</v>
      </c>
      <c r="D10" s="12" t="s">
        <v>45</v>
      </c>
      <c r="E10" s="12" t="s">
        <v>20</v>
      </c>
      <c r="F10" s="13" t="s">
        <v>47</v>
      </c>
      <c r="G10" s="14">
        <v>0.8</v>
      </c>
    </row>
    <row r="11" spans="1:7" s="15" customFormat="1" x14ac:dyDescent="0.2">
      <c r="A11" s="31">
        <v>2025</v>
      </c>
      <c r="B11" s="33">
        <v>3</v>
      </c>
      <c r="C11" s="11">
        <v>21</v>
      </c>
      <c r="D11" s="12" t="s">
        <v>45</v>
      </c>
      <c r="E11" s="12" t="s">
        <v>16</v>
      </c>
      <c r="F11" s="13" t="s">
        <v>47</v>
      </c>
      <c r="G11" s="14">
        <v>0.8</v>
      </c>
    </row>
    <row r="12" spans="1:7" s="15" customFormat="1" x14ac:dyDescent="0.2">
      <c r="A12" s="32">
        <v>2025</v>
      </c>
      <c r="B12" s="33">
        <v>3</v>
      </c>
      <c r="C12" s="17">
        <v>28</v>
      </c>
      <c r="D12" s="18" t="s">
        <v>45</v>
      </c>
      <c r="E12" s="18" t="s">
        <v>19</v>
      </c>
      <c r="F12" s="13" t="s">
        <v>47</v>
      </c>
      <c r="G12" s="14">
        <v>0.88</v>
      </c>
    </row>
    <row r="13" spans="1:7" s="15" customFormat="1" x14ac:dyDescent="0.2">
      <c r="A13" s="31">
        <v>2025</v>
      </c>
      <c r="B13" s="32">
        <v>3</v>
      </c>
      <c r="C13" s="11">
        <v>4</v>
      </c>
      <c r="D13" s="12" t="s">
        <v>45</v>
      </c>
      <c r="E13" s="12" t="s">
        <v>19</v>
      </c>
      <c r="F13" s="13" t="s">
        <v>30</v>
      </c>
      <c r="G13" s="14">
        <v>0.83</v>
      </c>
    </row>
    <row r="14" spans="1:7" s="15" customFormat="1" x14ac:dyDescent="0.2">
      <c r="A14" s="32">
        <v>2025</v>
      </c>
      <c r="B14" s="32">
        <v>3</v>
      </c>
      <c r="C14" s="17">
        <v>4</v>
      </c>
      <c r="D14" s="18" t="s">
        <v>45</v>
      </c>
      <c r="E14" s="18" t="s">
        <v>20</v>
      </c>
      <c r="F14" s="13" t="s">
        <v>30</v>
      </c>
      <c r="G14" s="14">
        <v>1</v>
      </c>
    </row>
  </sheetData>
  <sortState xmlns:xlrd2="http://schemas.microsoft.com/office/spreadsheetml/2017/richdata2" ref="A1:G12">
    <sortCondition ref="D1:D12"/>
  </sortState>
  <dataValidations count="1">
    <dataValidation type="list" allowBlank="1" showInputMessage="1" showErrorMessage="1" sqref="E5:E14 E1:E3" xr:uid="{857C4427-0436-4376-B1F3-54475189FDC9}">
      <formula1>"ЭИ,ДЦ,ФПП,ФОП,ОБП,РПУ,ПА,Картирование,5С,СР,СМЕД,АО,ОЕЕ,МРП"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6078D-1269-431B-89F4-0DA28BD106D7}">
  <dimension ref="A1:K46"/>
  <sheetViews>
    <sheetView topLeftCell="A16" workbookViewId="0">
      <selection activeCell="N42" sqref="N42"/>
    </sheetView>
  </sheetViews>
  <sheetFormatPr defaultRowHeight="15" x14ac:dyDescent="0.25"/>
  <cols>
    <col min="4" max="4" width="31.85546875" customWidth="1"/>
    <col min="5" max="5" width="18.7109375" customWidth="1"/>
    <col min="6" max="6" width="33.140625" customWidth="1"/>
  </cols>
  <sheetData>
    <row r="1" spans="1:11" x14ac:dyDescent="0.25">
      <c r="A1" s="37">
        <v>2025</v>
      </c>
      <c r="B1" s="38">
        <v>4</v>
      </c>
      <c r="C1" s="4">
        <v>1</v>
      </c>
      <c r="D1" s="7" t="s">
        <v>18</v>
      </c>
      <c r="E1" s="7" t="s">
        <v>16</v>
      </c>
      <c r="F1" s="8" t="s">
        <v>56</v>
      </c>
      <c r="G1" s="39">
        <v>11</v>
      </c>
      <c r="H1" s="39">
        <v>11</v>
      </c>
      <c r="I1" s="39">
        <v>0</v>
      </c>
      <c r="J1" s="39">
        <v>9</v>
      </c>
      <c r="K1" s="10">
        <f t="shared" ref="K1:K27" si="0">IFERROR(J1/H1-I1/H1,"")</f>
        <v>0.81818181818181823</v>
      </c>
    </row>
    <row r="2" spans="1:11" x14ac:dyDescent="0.25">
      <c r="A2" s="37">
        <v>2025</v>
      </c>
      <c r="B2" s="38">
        <v>4</v>
      </c>
      <c r="C2" s="4">
        <v>2</v>
      </c>
      <c r="D2" s="7" t="s">
        <v>18</v>
      </c>
      <c r="E2" s="7" t="s">
        <v>20</v>
      </c>
      <c r="F2" s="8" t="s">
        <v>56</v>
      </c>
      <c r="G2" s="39">
        <v>7</v>
      </c>
      <c r="H2" s="39">
        <v>7</v>
      </c>
      <c r="I2" s="39">
        <v>0</v>
      </c>
      <c r="J2" s="39">
        <v>6</v>
      </c>
      <c r="K2" s="10">
        <f t="shared" si="0"/>
        <v>0.8571428571428571</v>
      </c>
    </row>
    <row r="3" spans="1:11" x14ac:dyDescent="0.25">
      <c r="A3" s="37">
        <v>2025</v>
      </c>
      <c r="B3" s="38">
        <v>4</v>
      </c>
      <c r="C3" s="4">
        <v>8</v>
      </c>
      <c r="D3" s="5" t="s">
        <v>18</v>
      </c>
      <c r="E3" s="5" t="s">
        <v>20</v>
      </c>
      <c r="F3" s="6" t="s">
        <v>57</v>
      </c>
      <c r="G3" s="40">
        <v>7</v>
      </c>
      <c r="H3" s="40">
        <v>7</v>
      </c>
      <c r="I3" s="40">
        <v>0</v>
      </c>
      <c r="J3" s="40">
        <v>6</v>
      </c>
      <c r="K3" s="42">
        <f t="shared" si="0"/>
        <v>0.8571428571428571</v>
      </c>
    </row>
    <row r="4" spans="1:11" x14ac:dyDescent="0.25">
      <c r="A4" s="37">
        <v>2025</v>
      </c>
      <c r="B4" s="38">
        <v>4</v>
      </c>
      <c r="C4" s="4">
        <v>16</v>
      </c>
      <c r="D4" s="7" t="s">
        <v>15</v>
      </c>
      <c r="E4" s="7" t="s">
        <v>20</v>
      </c>
      <c r="F4" s="13" t="s">
        <v>65</v>
      </c>
      <c r="G4" s="39">
        <v>10</v>
      </c>
      <c r="H4" s="39">
        <v>10</v>
      </c>
      <c r="I4" s="39">
        <v>0</v>
      </c>
      <c r="J4" s="39">
        <v>7</v>
      </c>
      <c r="K4" s="45">
        <f t="shared" si="0"/>
        <v>0.7</v>
      </c>
    </row>
    <row r="5" spans="1:11" x14ac:dyDescent="0.25">
      <c r="A5" s="37">
        <v>2025</v>
      </c>
      <c r="B5" s="38">
        <v>4</v>
      </c>
      <c r="C5" s="4">
        <v>8</v>
      </c>
      <c r="D5" s="5" t="s">
        <v>25</v>
      </c>
      <c r="E5" s="5" t="s">
        <v>20</v>
      </c>
      <c r="F5" s="41" t="s">
        <v>61</v>
      </c>
      <c r="G5" s="40">
        <v>6</v>
      </c>
      <c r="H5" s="40">
        <v>5</v>
      </c>
      <c r="I5" s="40">
        <v>0</v>
      </c>
      <c r="J5" s="40">
        <v>3</v>
      </c>
      <c r="K5" s="43">
        <f t="shared" si="0"/>
        <v>0.6</v>
      </c>
    </row>
    <row r="6" spans="1:11" x14ac:dyDescent="0.25">
      <c r="A6" s="37">
        <v>2025</v>
      </c>
      <c r="B6" s="38">
        <v>4</v>
      </c>
      <c r="C6" s="4">
        <v>30</v>
      </c>
      <c r="D6" s="5" t="s">
        <v>25</v>
      </c>
      <c r="E6" s="5" t="s">
        <v>20</v>
      </c>
      <c r="F6" s="6" t="s">
        <v>60</v>
      </c>
      <c r="G6" s="40">
        <v>6</v>
      </c>
      <c r="H6" s="40">
        <v>5</v>
      </c>
      <c r="I6" s="40">
        <v>0</v>
      </c>
      <c r="J6" s="40">
        <v>5</v>
      </c>
      <c r="K6" s="10">
        <f t="shared" si="0"/>
        <v>1</v>
      </c>
    </row>
    <row r="7" spans="1:11" x14ac:dyDescent="0.25">
      <c r="A7" s="37">
        <v>2025</v>
      </c>
      <c r="B7" s="38">
        <v>4</v>
      </c>
      <c r="C7" s="4">
        <v>1</v>
      </c>
      <c r="D7" s="7" t="s">
        <v>45</v>
      </c>
      <c r="E7" s="7" t="s">
        <v>20</v>
      </c>
      <c r="F7" s="8" t="s">
        <v>48</v>
      </c>
      <c r="G7" s="39">
        <v>12</v>
      </c>
      <c r="H7" s="39">
        <v>12</v>
      </c>
      <c r="I7" s="39">
        <v>0</v>
      </c>
      <c r="J7" s="39">
        <v>9</v>
      </c>
      <c r="K7" s="10">
        <f t="shared" si="0"/>
        <v>0.75</v>
      </c>
    </row>
    <row r="8" spans="1:11" x14ac:dyDescent="0.25">
      <c r="A8" s="37">
        <v>2025</v>
      </c>
      <c r="B8" s="38">
        <v>4</v>
      </c>
      <c r="C8" s="4">
        <v>9</v>
      </c>
      <c r="D8" s="7" t="s">
        <v>45</v>
      </c>
      <c r="E8" s="7" t="s">
        <v>20</v>
      </c>
      <c r="F8" s="13" t="s">
        <v>62</v>
      </c>
      <c r="G8" s="39">
        <v>8</v>
      </c>
      <c r="H8" s="39">
        <v>8</v>
      </c>
      <c r="I8" s="39">
        <v>0</v>
      </c>
      <c r="J8" s="39">
        <v>8</v>
      </c>
      <c r="K8" s="45">
        <f t="shared" si="0"/>
        <v>1</v>
      </c>
    </row>
    <row r="9" spans="1:11" x14ac:dyDescent="0.25">
      <c r="A9" s="37">
        <v>2025</v>
      </c>
      <c r="B9" s="38">
        <v>4</v>
      </c>
      <c r="C9" s="4">
        <v>18</v>
      </c>
      <c r="D9" s="5" t="s">
        <v>45</v>
      </c>
      <c r="E9" s="5" t="s">
        <v>20</v>
      </c>
      <c r="F9" s="41" t="s">
        <v>64</v>
      </c>
      <c r="G9" s="40">
        <v>10</v>
      </c>
      <c r="H9" s="40">
        <v>10</v>
      </c>
      <c r="I9" s="40">
        <v>0</v>
      </c>
      <c r="J9" s="40">
        <v>9</v>
      </c>
      <c r="K9" s="45">
        <f t="shared" si="0"/>
        <v>0.9</v>
      </c>
    </row>
    <row r="10" spans="1:11" x14ac:dyDescent="0.25">
      <c r="A10" s="37">
        <v>2025</v>
      </c>
      <c r="B10" s="38">
        <v>4</v>
      </c>
      <c r="C10" s="4">
        <v>1</v>
      </c>
      <c r="D10" s="5" t="s">
        <v>15</v>
      </c>
      <c r="E10" s="5" t="s">
        <v>28</v>
      </c>
      <c r="F10" s="41" t="s">
        <v>21</v>
      </c>
      <c r="G10" s="40">
        <v>3</v>
      </c>
      <c r="H10" s="40">
        <v>3</v>
      </c>
      <c r="I10" s="40">
        <v>0</v>
      </c>
      <c r="J10" s="40">
        <v>3</v>
      </c>
      <c r="K10" s="10">
        <f t="shared" si="0"/>
        <v>1</v>
      </c>
    </row>
    <row r="11" spans="1:11" x14ac:dyDescent="0.25">
      <c r="A11" s="37">
        <v>2025</v>
      </c>
      <c r="B11" s="38">
        <v>4</v>
      </c>
      <c r="C11" s="4">
        <v>4</v>
      </c>
      <c r="D11" s="5" t="s">
        <v>18</v>
      </c>
      <c r="E11" s="5" t="s">
        <v>22</v>
      </c>
      <c r="F11" s="41" t="s">
        <v>56</v>
      </c>
      <c r="G11" s="40">
        <v>10</v>
      </c>
      <c r="H11" s="40">
        <v>8</v>
      </c>
      <c r="I11" s="40">
        <v>0</v>
      </c>
      <c r="J11" s="40">
        <v>6</v>
      </c>
      <c r="K11" s="42">
        <f t="shared" si="0"/>
        <v>0.75</v>
      </c>
    </row>
    <row r="12" spans="1:11" x14ac:dyDescent="0.25">
      <c r="A12" s="37">
        <v>2025</v>
      </c>
      <c r="B12" s="38">
        <v>4</v>
      </c>
      <c r="C12" s="4">
        <v>2</v>
      </c>
      <c r="D12" s="5" t="s">
        <v>15</v>
      </c>
      <c r="E12" s="5" t="s">
        <v>22</v>
      </c>
      <c r="F12" s="6" t="s">
        <v>48</v>
      </c>
      <c r="G12" s="40">
        <v>9</v>
      </c>
      <c r="H12" s="40">
        <v>9</v>
      </c>
      <c r="I12" s="40">
        <v>0</v>
      </c>
      <c r="J12" s="40">
        <v>7</v>
      </c>
      <c r="K12" s="42">
        <f t="shared" si="0"/>
        <v>0.77777777777777779</v>
      </c>
    </row>
    <row r="13" spans="1:11" x14ac:dyDescent="0.25">
      <c r="A13" s="37">
        <v>2025</v>
      </c>
      <c r="B13" s="38">
        <v>4</v>
      </c>
      <c r="C13" s="4">
        <v>17</v>
      </c>
      <c r="D13" s="5" t="s">
        <v>15</v>
      </c>
      <c r="E13" s="5" t="s">
        <v>22</v>
      </c>
      <c r="F13" s="6" t="s">
        <v>65</v>
      </c>
      <c r="G13" s="40">
        <v>6</v>
      </c>
      <c r="H13" s="40">
        <v>6</v>
      </c>
      <c r="I13" s="40">
        <v>0</v>
      </c>
      <c r="J13" s="40">
        <v>6</v>
      </c>
      <c r="K13" s="45">
        <f t="shared" si="0"/>
        <v>1</v>
      </c>
    </row>
    <row r="14" spans="1:11" x14ac:dyDescent="0.25">
      <c r="A14" s="37">
        <v>2025</v>
      </c>
      <c r="B14" s="38">
        <v>4</v>
      </c>
      <c r="C14" s="4">
        <v>11</v>
      </c>
      <c r="D14" s="5" t="s">
        <v>25</v>
      </c>
      <c r="E14" s="5" t="s">
        <v>22</v>
      </c>
      <c r="F14" s="41" t="s">
        <v>61</v>
      </c>
      <c r="G14" s="40">
        <v>6</v>
      </c>
      <c r="H14" s="40">
        <v>6</v>
      </c>
      <c r="I14" s="40">
        <v>0</v>
      </c>
      <c r="J14" s="40">
        <v>5</v>
      </c>
      <c r="K14" s="10">
        <f t="shared" si="0"/>
        <v>0.83333333333333337</v>
      </c>
    </row>
    <row r="15" spans="1:11" x14ac:dyDescent="0.25">
      <c r="A15" s="37">
        <v>2025</v>
      </c>
      <c r="B15" s="38">
        <v>4</v>
      </c>
      <c r="C15" s="4">
        <v>29</v>
      </c>
      <c r="D15" s="5" t="s">
        <v>25</v>
      </c>
      <c r="E15" s="5" t="s">
        <v>22</v>
      </c>
      <c r="F15" s="41" t="s">
        <v>64</v>
      </c>
      <c r="G15" s="40">
        <v>10</v>
      </c>
      <c r="H15" s="40">
        <v>6</v>
      </c>
      <c r="I15" s="40">
        <v>0</v>
      </c>
      <c r="J15" s="40">
        <v>4</v>
      </c>
      <c r="K15" s="43">
        <f t="shared" si="0"/>
        <v>0.66666666666666663</v>
      </c>
    </row>
    <row r="16" spans="1:11" x14ac:dyDescent="0.25">
      <c r="A16" s="37">
        <v>2025</v>
      </c>
      <c r="B16" s="38">
        <v>4</v>
      </c>
      <c r="C16" s="4">
        <v>2</v>
      </c>
      <c r="D16" s="5" t="s">
        <v>45</v>
      </c>
      <c r="E16" s="5" t="s">
        <v>22</v>
      </c>
      <c r="F16" s="41" t="s">
        <v>47</v>
      </c>
      <c r="G16" s="40">
        <v>8</v>
      </c>
      <c r="H16" s="40">
        <v>7</v>
      </c>
      <c r="I16" s="40">
        <v>0</v>
      </c>
      <c r="J16" s="40">
        <v>7</v>
      </c>
      <c r="K16" s="42">
        <f t="shared" si="0"/>
        <v>1</v>
      </c>
    </row>
    <row r="17" spans="1:11" x14ac:dyDescent="0.25">
      <c r="A17" s="37">
        <v>2025</v>
      </c>
      <c r="B17" s="38">
        <v>4</v>
      </c>
      <c r="C17" s="4">
        <v>11</v>
      </c>
      <c r="D17" s="5" t="s">
        <v>45</v>
      </c>
      <c r="E17" s="5" t="s">
        <v>22</v>
      </c>
      <c r="F17" s="41" t="s">
        <v>57</v>
      </c>
      <c r="G17" s="40">
        <v>6</v>
      </c>
      <c r="H17" s="40">
        <v>6</v>
      </c>
      <c r="I17" s="40">
        <v>0</v>
      </c>
      <c r="J17" s="40">
        <v>6</v>
      </c>
      <c r="K17" s="42">
        <f t="shared" si="0"/>
        <v>1</v>
      </c>
    </row>
    <row r="18" spans="1:11" x14ac:dyDescent="0.25">
      <c r="A18" s="37">
        <v>2025</v>
      </c>
      <c r="B18" s="38">
        <v>4</v>
      </c>
      <c r="C18" s="4">
        <v>10</v>
      </c>
      <c r="D18" s="5" t="s">
        <v>45</v>
      </c>
      <c r="E18" s="5" t="s">
        <v>22</v>
      </c>
      <c r="F18" s="41" t="s">
        <v>62</v>
      </c>
      <c r="G18" s="40">
        <v>9</v>
      </c>
      <c r="H18" s="40">
        <v>9</v>
      </c>
      <c r="I18" s="40">
        <v>0</v>
      </c>
      <c r="J18" s="40">
        <v>9</v>
      </c>
      <c r="K18" s="45">
        <f t="shared" si="0"/>
        <v>1</v>
      </c>
    </row>
    <row r="19" spans="1:11" x14ac:dyDescent="0.25">
      <c r="A19" s="37">
        <v>2025</v>
      </c>
      <c r="B19" s="38">
        <v>4</v>
      </c>
      <c r="C19" s="4">
        <v>11</v>
      </c>
      <c r="D19" s="5" t="s">
        <v>58</v>
      </c>
      <c r="E19" s="5" t="s">
        <v>36</v>
      </c>
      <c r="F19" s="41" t="s">
        <v>59</v>
      </c>
      <c r="G19" s="40">
        <v>8</v>
      </c>
      <c r="H19" s="40">
        <v>8</v>
      </c>
      <c r="I19" s="40">
        <v>0</v>
      </c>
      <c r="J19" s="40">
        <v>8</v>
      </c>
      <c r="K19" s="42">
        <f t="shared" si="0"/>
        <v>1</v>
      </c>
    </row>
    <row r="20" spans="1:11" x14ac:dyDescent="0.25">
      <c r="A20" s="37">
        <v>2025</v>
      </c>
      <c r="B20" s="38">
        <v>4</v>
      </c>
      <c r="C20" s="4">
        <v>7</v>
      </c>
      <c r="D20" s="5" t="s">
        <v>18</v>
      </c>
      <c r="E20" s="5" t="s">
        <v>16</v>
      </c>
      <c r="F20" s="41" t="s">
        <v>57</v>
      </c>
      <c r="G20" s="40">
        <v>5</v>
      </c>
      <c r="H20" s="40">
        <v>5</v>
      </c>
      <c r="I20" s="40">
        <v>0</v>
      </c>
      <c r="J20" s="40">
        <v>5</v>
      </c>
      <c r="K20" s="42">
        <f t="shared" si="0"/>
        <v>1</v>
      </c>
    </row>
    <row r="21" spans="1:11" x14ac:dyDescent="0.25">
      <c r="A21" s="37">
        <v>2025</v>
      </c>
      <c r="B21" s="38">
        <v>4</v>
      </c>
      <c r="C21" s="4">
        <v>15</v>
      </c>
      <c r="D21" s="7" t="s">
        <v>15</v>
      </c>
      <c r="E21" s="7" t="s">
        <v>16</v>
      </c>
      <c r="F21" s="13" t="s">
        <v>65</v>
      </c>
      <c r="G21" s="39">
        <v>11</v>
      </c>
      <c r="H21" s="39">
        <v>10</v>
      </c>
      <c r="I21" s="39">
        <v>0</v>
      </c>
      <c r="J21" s="39">
        <v>7</v>
      </c>
      <c r="K21" s="45">
        <f t="shared" si="0"/>
        <v>0.7</v>
      </c>
    </row>
    <row r="22" spans="1:11" x14ac:dyDescent="0.25">
      <c r="A22" s="37">
        <v>2025</v>
      </c>
      <c r="B22" s="38">
        <v>4</v>
      </c>
      <c r="C22" s="4">
        <v>2</v>
      </c>
      <c r="D22" s="7" t="s">
        <v>25</v>
      </c>
      <c r="E22" s="7" t="s">
        <v>16</v>
      </c>
      <c r="F22" s="13" t="s">
        <v>60</v>
      </c>
      <c r="G22" s="39">
        <v>7</v>
      </c>
      <c r="H22" s="39">
        <v>5</v>
      </c>
      <c r="I22" s="39">
        <v>0</v>
      </c>
      <c r="J22" s="39">
        <v>4</v>
      </c>
      <c r="K22" s="42">
        <f t="shared" si="0"/>
        <v>0.8</v>
      </c>
    </row>
    <row r="23" spans="1:11" x14ac:dyDescent="0.25">
      <c r="A23" s="37">
        <v>2025</v>
      </c>
      <c r="B23" s="38">
        <v>4</v>
      </c>
      <c r="C23" s="4">
        <v>1</v>
      </c>
      <c r="D23" s="5" t="s">
        <v>25</v>
      </c>
      <c r="E23" s="5" t="s">
        <v>16</v>
      </c>
      <c r="F23" s="41" t="s">
        <v>61</v>
      </c>
      <c r="G23" s="40">
        <v>7</v>
      </c>
      <c r="H23" s="40">
        <v>7</v>
      </c>
      <c r="I23" s="40">
        <v>0</v>
      </c>
      <c r="J23" s="40">
        <v>6</v>
      </c>
      <c r="K23" s="42">
        <f t="shared" si="0"/>
        <v>0.8571428571428571</v>
      </c>
    </row>
    <row r="24" spans="1:11" x14ac:dyDescent="0.25">
      <c r="A24" s="37">
        <v>2025</v>
      </c>
      <c r="B24" s="38">
        <v>4</v>
      </c>
      <c r="C24" s="4">
        <v>8</v>
      </c>
      <c r="D24" s="7" t="s">
        <v>45</v>
      </c>
      <c r="E24" s="7" t="s">
        <v>16</v>
      </c>
      <c r="F24" s="13" t="s">
        <v>62</v>
      </c>
      <c r="G24" s="39">
        <v>10</v>
      </c>
      <c r="H24" s="39">
        <v>8</v>
      </c>
      <c r="I24" s="39">
        <v>0</v>
      </c>
      <c r="J24" s="39">
        <v>6</v>
      </c>
      <c r="K24" s="45">
        <f t="shared" si="0"/>
        <v>0.75</v>
      </c>
    </row>
    <row r="25" spans="1:11" x14ac:dyDescent="0.25">
      <c r="A25" s="37">
        <v>2025</v>
      </c>
      <c r="B25" s="38">
        <v>4</v>
      </c>
      <c r="C25" s="4">
        <v>14</v>
      </c>
      <c r="D25" s="5" t="s">
        <v>63</v>
      </c>
      <c r="E25" s="5" t="s">
        <v>16</v>
      </c>
      <c r="F25" s="41" t="s">
        <v>64</v>
      </c>
      <c r="G25" s="40">
        <v>13</v>
      </c>
      <c r="H25" s="40">
        <v>8</v>
      </c>
      <c r="I25" s="40">
        <v>0</v>
      </c>
      <c r="J25" s="40">
        <v>6</v>
      </c>
      <c r="K25" s="10">
        <f t="shared" si="0"/>
        <v>0.75</v>
      </c>
    </row>
    <row r="26" spans="1:11" x14ac:dyDescent="0.25">
      <c r="A26" s="37">
        <v>2025</v>
      </c>
      <c r="B26" s="38">
        <v>4</v>
      </c>
      <c r="C26" s="4">
        <v>1</v>
      </c>
      <c r="D26" s="7" t="s">
        <v>15</v>
      </c>
      <c r="E26" s="7" t="s">
        <v>35</v>
      </c>
      <c r="F26" s="13" t="s">
        <v>21</v>
      </c>
      <c r="G26" s="39">
        <v>3</v>
      </c>
      <c r="H26" s="39">
        <v>3</v>
      </c>
      <c r="I26" s="39">
        <v>0</v>
      </c>
      <c r="J26" s="39">
        <v>3</v>
      </c>
      <c r="K26" s="10">
        <f t="shared" si="0"/>
        <v>1</v>
      </c>
    </row>
    <row r="27" spans="1:11" x14ac:dyDescent="0.25">
      <c r="A27" s="37">
        <v>2025</v>
      </c>
      <c r="B27" s="38">
        <v>4</v>
      </c>
      <c r="C27" s="4">
        <v>4</v>
      </c>
      <c r="D27" s="7" t="s">
        <v>18</v>
      </c>
      <c r="E27" s="7" t="s">
        <v>23</v>
      </c>
      <c r="F27" s="13" t="s">
        <v>56</v>
      </c>
      <c r="G27" s="39">
        <v>10</v>
      </c>
      <c r="H27" s="39">
        <v>9</v>
      </c>
      <c r="I27" s="39">
        <v>0</v>
      </c>
      <c r="J27" s="39">
        <v>7</v>
      </c>
      <c r="K27" s="51">
        <f t="shared" si="0"/>
        <v>0.77777777777777779</v>
      </c>
    </row>
    <row r="28" spans="1:11" x14ac:dyDescent="0.25">
      <c r="A28" s="37">
        <v>2025</v>
      </c>
      <c r="B28" s="38">
        <v>4</v>
      </c>
      <c r="C28" s="4">
        <v>9</v>
      </c>
      <c r="D28" s="7" t="s">
        <v>58</v>
      </c>
      <c r="E28" s="7" t="s">
        <v>23</v>
      </c>
      <c r="F28" s="13" t="s">
        <v>59</v>
      </c>
      <c r="G28" s="39">
        <v>7</v>
      </c>
      <c r="H28" s="39">
        <v>4</v>
      </c>
      <c r="I28" s="39">
        <v>0</v>
      </c>
      <c r="J28" s="39">
        <v>4</v>
      </c>
      <c r="K28" s="51">
        <v>1</v>
      </c>
    </row>
    <row r="29" spans="1:11" x14ac:dyDescent="0.25">
      <c r="A29" s="37">
        <v>2025</v>
      </c>
      <c r="B29" s="38">
        <v>4</v>
      </c>
      <c r="C29" s="4">
        <v>2</v>
      </c>
      <c r="D29" s="7" t="s">
        <v>15</v>
      </c>
      <c r="E29" s="7" t="s">
        <v>23</v>
      </c>
      <c r="F29" s="13" t="s">
        <v>48</v>
      </c>
      <c r="G29" s="39">
        <v>9</v>
      </c>
      <c r="H29" s="39">
        <v>9</v>
      </c>
      <c r="I29" s="39">
        <v>0</v>
      </c>
      <c r="J29" s="39">
        <v>7</v>
      </c>
      <c r="K29" s="51">
        <f t="shared" ref="K29:K46" si="1">IFERROR(J29/H29-I29/H29,"")</f>
        <v>0.77777777777777779</v>
      </c>
    </row>
    <row r="30" spans="1:11" x14ac:dyDescent="0.25">
      <c r="A30" s="37">
        <v>2025</v>
      </c>
      <c r="B30" s="38">
        <v>4</v>
      </c>
      <c r="C30" s="4">
        <v>17</v>
      </c>
      <c r="D30" s="7" t="s">
        <v>15</v>
      </c>
      <c r="E30" s="7" t="s">
        <v>23</v>
      </c>
      <c r="F30" s="13" t="s">
        <v>65</v>
      </c>
      <c r="G30" s="39">
        <v>6</v>
      </c>
      <c r="H30" s="39">
        <v>6</v>
      </c>
      <c r="I30" s="39">
        <v>0</v>
      </c>
      <c r="J30" s="39">
        <v>6</v>
      </c>
      <c r="K30" s="44">
        <f t="shared" si="1"/>
        <v>1</v>
      </c>
    </row>
    <row r="31" spans="1:11" x14ac:dyDescent="0.25">
      <c r="A31" s="37">
        <v>2025</v>
      </c>
      <c r="B31" s="38">
        <v>4</v>
      </c>
      <c r="C31" s="4">
        <v>9</v>
      </c>
      <c r="D31" s="7" t="s">
        <v>25</v>
      </c>
      <c r="E31" s="7" t="s">
        <v>23</v>
      </c>
      <c r="F31" s="13" t="s">
        <v>60</v>
      </c>
      <c r="G31" s="39">
        <v>5</v>
      </c>
      <c r="H31" s="39">
        <v>5</v>
      </c>
      <c r="I31" s="39">
        <v>0</v>
      </c>
      <c r="J31" s="39">
        <v>4</v>
      </c>
      <c r="K31" s="51">
        <f t="shared" si="1"/>
        <v>0.8</v>
      </c>
    </row>
    <row r="32" spans="1:11" x14ac:dyDescent="0.25">
      <c r="A32" s="37">
        <v>2025</v>
      </c>
      <c r="B32" s="38">
        <v>4</v>
      </c>
      <c r="C32" s="4">
        <v>11</v>
      </c>
      <c r="D32" s="7" t="s">
        <v>25</v>
      </c>
      <c r="E32" s="7" t="s">
        <v>23</v>
      </c>
      <c r="F32" s="13" t="s">
        <v>61</v>
      </c>
      <c r="G32" s="39">
        <v>6</v>
      </c>
      <c r="H32" s="39">
        <v>6</v>
      </c>
      <c r="I32" s="39">
        <v>0</v>
      </c>
      <c r="J32" s="39">
        <v>3</v>
      </c>
      <c r="K32" s="50">
        <f t="shared" si="1"/>
        <v>0.5</v>
      </c>
    </row>
    <row r="33" spans="1:11" x14ac:dyDescent="0.25">
      <c r="A33" s="37">
        <v>2025</v>
      </c>
      <c r="B33" s="38">
        <v>4</v>
      </c>
      <c r="C33" s="4">
        <v>29</v>
      </c>
      <c r="D33" s="7" t="s">
        <v>25</v>
      </c>
      <c r="E33" s="7" t="s">
        <v>23</v>
      </c>
      <c r="F33" s="13" t="s">
        <v>64</v>
      </c>
      <c r="G33" s="39">
        <v>10</v>
      </c>
      <c r="H33" s="39">
        <v>6</v>
      </c>
      <c r="I33" s="39">
        <v>0</v>
      </c>
      <c r="J33" s="39">
        <v>3</v>
      </c>
      <c r="K33" s="43">
        <f t="shared" si="1"/>
        <v>0.5</v>
      </c>
    </row>
    <row r="34" spans="1:11" x14ac:dyDescent="0.25">
      <c r="A34" s="37">
        <v>2025</v>
      </c>
      <c r="B34" s="38">
        <v>4</v>
      </c>
      <c r="C34" s="4">
        <v>2</v>
      </c>
      <c r="D34" s="7" t="s">
        <v>45</v>
      </c>
      <c r="E34" s="7" t="s">
        <v>23</v>
      </c>
      <c r="F34" s="13" t="s">
        <v>47</v>
      </c>
      <c r="G34" s="39">
        <v>10</v>
      </c>
      <c r="H34" s="39">
        <v>8</v>
      </c>
      <c r="I34" s="39">
        <v>0</v>
      </c>
      <c r="J34" s="39">
        <v>6</v>
      </c>
      <c r="K34" s="42">
        <f t="shared" si="1"/>
        <v>0.75</v>
      </c>
    </row>
    <row r="35" spans="1:11" x14ac:dyDescent="0.25">
      <c r="A35" s="37">
        <v>2025</v>
      </c>
      <c r="B35" s="38">
        <v>4</v>
      </c>
      <c r="C35" s="4">
        <v>11</v>
      </c>
      <c r="D35" s="7" t="s">
        <v>45</v>
      </c>
      <c r="E35" s="7" t="s">
        <v>23</v>
      </c>
      <c r="F35" s="13" t="s">
        <v>57</v>
      </c>
      <c r="G35" s="39">
        <v>6</v>
      </c>
      <c r="H35" s="39">
        <v>6</v>
      </c>
      <c r="I35" s="39">
        <v>0</v>
      </c>
      <c r="J35" s="39">
        <v>5</v>
      </c>
      <c r="K35" s="42">
        <f t="shared" si="1"/>
        <v>0.83333333333333337</v>
      </c>
    </row>
    <row r="36" spans="1:11" x14ac:dyDescent="0.25">
      <c r="A36" s="37">
        <v>2025</v>
      </c>
      <c r="B36" s="38">
        <v>4</v>
      </c>
      <c r="C36" s="4">
        <v>10</v>
      </c>
      <c r="D36" s="7" t="s">
        <v>45</v>
      </c>
      <c r="E36" s="7" t="s">
        <v>23</v>
      </c>
      <c r="F36" s="13" t="s">
        <v>62</v>
      </c>
      <c r="G36" s="39">
        <v>9</v>
      </c>
      <c r="H36" s="39">
        <v>9</v>
      </c>
      <c r="I36" s="39">
        <v>0</v>
      </c>
      <c r="J36" s="39">
        <v>9</v>
      </c>
      <c r="K36" s="45">
        <f t="shared" si="1"/>
        <v>1</v>
      </c>
    </row>
    <row r="37" spans="1:11" x14ac:dyDescent="0.25">
      <c r="A37" s="37">
        <v>2025</v>
      </c>
      <c r="B37" s="38">
        <v>4</v>
      </c>
      <c r="C37" s="4">
        <v>2</v>
      </c>
      <c r="D37" s="5" t="s">
        <v>18</v>
      </c>
      <c r="E37" s="5" t="s">
        <v>19</v>
      </c>
      <c r="F37" s="41" t="s">
        <v>56</v>
      </c>
      <c r="G37" s="40">
        <v>7</v>
      </c>
      <c r="H37" s="40">
        <v>7</v>
      </c>
      <c r="I37" s="40">
        <v>0</v>
      </c>
      <c r="J37" s="40">
        <v>5</v>
      </c>
      <c r="K37" s="10">
        <f t="shared" si="1"/>
        <v>0.7142857142857143</v>
      </c>
    </row>
    <row r="38" spans="1:11" x14ac:dyDescent="0.25">
      <c r="A38" s="37">
        <v>2025</v>
      </c>
      <c r="B38" s="38">
        <v>4</v>
      </c>
      <c r="C38" s="4">
        <v>8</v>
      </c>
      <c r="D38" s="7" t="s">
        <v>18</v>
      </c>
      <c r="E38" s="7" t="s">
        <v>19</v>
      </c>
      <c r="F38" s="13" t="s">
        <v>57</v>
      </c>
      <c r="G38" s="39">
        <v>7</v>
      </c>
      <c r="H38" s="39">
        <v>7</v>
      </c>
      <c r="I38" s="39">
        <v>0</v>
      </c>
      <c r="J38" s="39">
        <v>6</v>
      </c>
      <c r="K38" s="42">
        <f t="shared" si="1"/>
        <v>0.8571428571428571</v>
      </c>
    </row>
    <row r="39" spans="1:11" x14ac:dyDescent="0.25">
      <c r="A39" s="37">
        <v>2025</v>
      </c>
      <c r="B39" s="38">
        <v>4</v>
      </c>
      <c r="C39" s="4">
        <v>16</v>
      </c>
      <c r="D39" s="5" t="s">
        <v>15</v>
      </c>
      <c r="E39" s="5" t="s">
        <v>19</v>
      </c>
      <c r="F39" s="41" t="s">
        <v>65</v>
      </c>
      <c r="G39" s="40">
        <v>10</v>
      </c>
      <c r="H39" s="40">
        <v>10</v>
      </c>
      <c r="I39" s="40">
        <v>0</v>
      </c>
      <c r="J39" s="40">
        <v>7</v>
      </c>
      <c r="K39" s="45">
        <f t="shared" si="1"/>
        <v>0.7</v>
      </c>
    </row>
    <row r="40" spans="1:11" x14ac:dyDescent="0.25">
      <c r="A40" s="37">
        <v>2025</v>
      </c>
      <c r="B40" s="38">
        <v>4</v>
      </c>
      <c r="C40" s="4">
        <v>9</v>
      </c>
      <c r="D40" s="5" t="s">
        <v>25</v>
      </c>
      <c r="E40" s="5" t="s">
        <v>19</v>
      </c>
      <c r="F40" s="41" t="s">
        <v>60</v>
      </c>
      <c r="G40" s="46">
        <v>5</v>
      </c>
      <c r="H40" s="46">
        <v>5</v>
      </c>
      <c r="I40" s="40">
        <v>0</v>
      </c>
      <c r="J40" s="46">
        <v>4</v>
      </c>
      <c r="K40" s="51">
        <f t="shared" si="1"/>
        <v>0.8</v>
      </c>
    </row>
    <row r="41" spans="1:11" x14ac:dyDescent="0.25">
      <c r="A41" s="37">
        <v>2025</v>
      </c>
      <c r="B41" s="38">
        <v>4</v>
      </c>
      <c r="C41" s="4">
        <v>8</v>
      </c>
      <c r="D41" s="7" t="s">
        <v>25</v>
      </c>
      <c r="E41" s="7" t="s">
        <v>19</v>
      </c>
      <c r="F41" s="13" t="s">
        <v>61</v>
      </c>
      <c r="G41" s="47">
        <v>6</v>
      </c>
      <c r="H41" s="47">
        <v>5</v>
      </c>
      <c r="I41" s="39">
        <v>0</v>
      </c>
      <c r="J41" s="47">
        <v>4</v>
      </c>
      <c r="K41" s="9">
        <f t="shared" si="1"/>
        <v>0.8</v>
      </c>
    </row>
    <row r="42" spans="1:11" x14ac:dyDescent="0.25">
      <c r="A42" s="37">
        <v>2025</v>
      </c>
      <c r="B42" s="38">
        <v>4</v>
      </c>
      <c r="C42" s="4">
        <v>1</v>
      </c>
      <c r="D42" s="5" t="s">
        <v>45</v>
      </c>
      <c r="E42" s="5" t="s">
        <v>19</v>
      </c>
      <c r="F42" s="41" t="s">
        <v>48</v>
      </c>
      <c r="G42" s="40">
        <v>13</v>
      </c>
      <c r="H42" s="40">
        <v>10</v>
      </c>
      <c r="I42" s="40">
        <v>0</v>
      </c>
      <c r="J42" s="40">
        <v>8</v>
      </c>
      <c r="K42" s="10">
        <f t="shared" si="1"/>
        <v>0.8</v>
      </c>
    </row>
    <row r="43" spans="1:11" x14ac:dyDescent="0.25">
      <c r="A43" s="37">
        <v>2025</v>
      </c>
      <c r="B43" s="38">
        <v>4</v>
      </c>
      <c r="C43" s="4">
        <v>9</v>
      </c>
      <c r="D43" s="5" t="s">
        <v>45</v>
      </c>
      <c r="E43" s="5" t="s">
        <v>19</v>
      </c>
      <c r="F43" s="41" t="s">
        <v>62</v>
      </c>
      <c r="G43" s="40">
        <v>9</v>
      </c>
      <c r="H43" s="40">
        <v>9</v>
      </c>
      <c r="I43" s="40">
        <v>0</v>
      </c>
      <c r="J43" s="40">
        <v>7</v>
      </c>
      <c r="K43" s="45">
        <f t="shared" si="1"/>
        <v>0.77777777777777779</v>
      </c>
    </row>
    <row r="44" spans="1:11" x14ac:dyDescent="0.25">
      <c r="A44" s="37">
        <v>2025</v>
      </c>
      <c r="B44" s="38">
        <v>4</v>
      </c>
      <c r="C44" s="4">
        <v>18</v>
      </c>
      <c r="D44" s="18" t="s">
        <v>45</v>
      </c>
      <c r="E44" s="7" t="s">
        <v>19</v>
      </c>
      <c r="F44" s="13" t="s">
        <v>64</v>
      </c>
      <c r="G44" s="39">
        <v>12</v>
      </c>
      <c r="H44" s="39">
        <v>11</v>
      </c>
      <c r="I44" s="39">
        <v>0</v>
      </c>
      <c r="J44" s="39">
        <v>8</v>
      </c>
      <c r="K44" s="10">
        <f t="shared" si="1"/>
        <v>0.72727272727272729</v>
      </c>
    </row>
    <row r="45" spans="1:11" x14ac:dyDescent="0.25">
      <c r="A45" s="37">
        <v>2025</v>
      </c>
      <c r="B45" s="38">
        <v>4</v>
      </c>
      <c r="C45" s="4">
        <v>22</v>
      </c>
      <c r="D45" s="48" t="s">
        <v>18</v>
      </c>
      <c r="E45" s="5" t="s">
        <v>27</v>
      </c>
      <c r="F45" s="41" t="s">
        <v>30</v>
      </c>
      <c r="G45" s="40">
        <v>8</v>
      </c>
      <c r="H45" s="40">
        <v>7</v>
      </c>
      <c r="I45" s="40">
        <v>0</v>
      </c>
      <c r="J45" s="40">
        <v>5</v>
      </c>
      <c r="K45" s="10">
        <f t="shared" si="1"/>
        <v>0.7142857142857143</v>
      </c>
    </row>
    <row r="46" spans="1:11" x14ac:dyDescent="0.25">
      <c r="A46" s="37">
        <v>2025</v>
      </c>
      <c r="B46" s="38">
        <v>4</v>
      </c>
      <c r="C46" s="4">
        <v>30</v>
      </c>
      <c r="D46" s="7" t="s">
        <v>18</v>
      </c>
      <c r="E46" s="7" t="s">
        <v>27</v>
      </c>
      <c r="F46" s="13" t="s">
        <v>46</v>
      </c>
      <c r="G46" s="39">
        <v>13</v>
      </c>
      <c r="H46" s="39">
        <v>13</v>
      </c>
      <c r="I46" s="39">
        <v>0</v>
      </c>
      <c r="J46" s="39">
        <v>13</v>
      </c>
      <c r="K46" s="10">
        <f t="shared" si="1"/>
        <v>1</v>
      </c>
    </row>
  </sheetData>
  <sortState xmlns:xlrd2="http://schemas.microsoft.com/office/spreadsheetml/2017/richdata2" ref="A2:K46">
    <sortCondition ref="E1:E46"/>
  </sortState>
  <dataValidations count="1">
    <dataValidation type="list" allowBlank="1" showInputMessage="1" showErrorMessage="1" sqref="E1:E46" xr:uid="{5A41D9BB-65BD-4DD8-9D3E-CE48E27CD44C}">
      <formula1>"ЭИ,ДЦ,ФПП,ФОП,ОБП,РПУ,ПА,Картирование,5С,СР,СМЕД,АО,ОЕЕ,МРП"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6CA9A-093F-4743-984E-A0283ABDF629}">
  <dimension ref="A1:O28"/>
  <sheetViews>
    <sheetView workbookViewId="0">
      <selection activeCell="N25" sqref="N25"/>
    </sheetView>
  </sheetViews>
  <sheetFormatPr defaultRowHeight="15" x14ac:dyDescent="0.25"/>
  <cols>
    <col min="4" max="4" width="30.140625" customWidth="1"/>
    <col min="5" max="5" width="30.42578125" customWidth="1"/>
    <col min="6" max="6" width="47.85546875" customWidth="1"/>
  </cols>
  <sheetData>
    <row r="1" spans="1:15" s="15" customFormat="1" x14ac:dyDescent="0.2">
      <c r="A1" s="31">
        <v>2025</v>
      </c>
      <c r="B1" s="33">
        <v>5</v>
      </c>
      <c r="C1" s="11">
        <v>7</v>
      </c>
      <c r="D1" s="53" t="s">
        <v>25</v>
      </c>
      <c r="E1" s="53" t="s">
        <v>22</v>
      </c>
      <c r="F1" s="13" t="s">
        <v>60</v>
      </c>
      <c r="G1" s="39">
        <v>4</v>
      </c>
      <c r="H1" s="39">
        <v>4</v>
      </c>
      <c r="I1" s="39">
        <v>0</v>
      </c>
      <c r="J1" s="60">
        <v>4</v>
      </c>
      <c r="K1" s="14">
        <f t="shared" ref="K1:K16" si="0">IFERROR(J1/H1-I1/H1,"")</f>
        <v>1</v>
      </c>
      <c r="L1" s="58"/>
      <c r="M1" s="59"/>
      <c r="N1" s="57"/>
      <c r="O1" s="57"/>
    </row>
    <row r="2" spans="1:15" s="15" customFormat="1" x14ac:dyDescent="0.2">
      <c r="A2" s="31">
        <v>2025</v>
      </c>
      <c r="B2" s="33">
        <v>5</v>
      </c>
      <c r="C2" s="11">
        <v>13</v>
      </c>
      <c r="D2" s="12" t="s">
        <v>18</v>
      </c>
      <c r="E2" s="12" t="s">
        <v>16</v>
      </c>
      <c r="F2" s="13" t="s">
        <v>66</v>
      </c>
      <c r="G2" s="39">
        <v>11</v>
      </c>
      <c r="H2" s="39">
        <v>10</v>
      </c>
      <c r="I2" s="39">
        <v>0</v>
      </c>
      <c r="J2" s="60">
        <v>8</v>
      </c>
      <c r="K2" s="14">
        <f t="shared" si="0"/>
        <v>0.8</v>
      </c>
      <c r="L2" s="57"/>
      <c r="M2" s="57"/>
      <c r="N2" s="57"/>
      <c r="O2" s="57"/>
    </row>
    <row r="3" spans="1:15" s="15" customFormat="1" x14ac:dyDescent="0.2">
      <c r="A3" s="31">
        <v>2025</v>
      </c>
      <c r="B3" s="33">
        <v>5</v>
      </c>
      <c r="C3" s="11">
        <v>13</v>
      </c>
      <c r="D3" s="12" t="s">
        <v>58</v>
      </c>
      <c r="E3" s="12" t="s">
        <v>27</v>
      </c>
      <c r="F3" s="13" t="s">
        <v>59</v>
      </c>
      <c r="G3" s="39">
        <v>7</v>
      </c>
      <c r="H3" s="39">
        <v>5</v>
      </c>
      <c r="I3" s="39">
        <v>0</v>
      </c>
      <c r="J3" s="60">
        <v>5</v>
      </c>
      <c r="K3" s="14">
        <f t="shared" si="0"/>
        <v>1</v>
      </c>
      <c r="L3" s="57"/>
      <c r="M3" s="57"/>
      <c r="N3" s="57"/>
      <c r="O3" s="57"/>
    </row>
    <row r="4" spans="1:15" s="15" customFormat="1" x14ac:dyDescent="0.2">
      <c r="A4" s="31">
        <v>2025</v>
      </c>
      <c r="B4" s="33">
        <v>5</v>
      </c>
      <c r="C4" s="11">
        <v>15</v>
      </c>
      <c r="D4" s="12" t="s">
        <v>58</v>
      </c>
      <c r="E4" s="12" t="s">
        <v>16</v>
      </c>
      <c r="F4" s="13" t="s">
        <v>67</v>
      </c>
      <c r="G4" s="39">
        <v>16</v>
      </c>
      <c r="H4" s="39">
        <v>12</v>
      </c>
      <c r="I4" s="39">
        <v>0</v>
      </c>
      <c r="J4" s="60">
        <v>9</v>
      </c>
      <c r="K4" s="14">
        <f t="shared" si="0"/>
        <v>0.75</v>
      </c>
      <c r="L4" s="57"/>
      <c r="M4" s="57"/>
      <c r="N4" s="57"/>
      <c r="O4" s="57"/>
    </row>
    <row r="5" spans="1:15" s="15" customFormat="1" x14ac:dyDescent="0.2">
      <c r="A5" s="31">
        <v>2025</v>
      </c>
      <c r="B5" s="33">
        <v>5</v>
      </c>
      <c r="C5" s="11">
        <v>15</v>
      </c>
      <c r="D5" s="12" t="s">
        <v>45</v>
      </c>
      <c r="E5" s="12" t="s">
        <v>27</v>
      </c>
      <c r="F5" s="13" t="s">
        <v>62</v>
      </c>
      <c r="G5" s="39">
        <v>6</v>
      </c>
      <c r="H5" s="39">
        <v>6</v>
      </c>
      <c r="I5" s="39">
        <v>0</v>
      </c>
      <c r="J5" s="60">
        <v>5</v>
      </c>
      <c r="K5" s="14">
        <f t="shared" si="0"/>
        <v>0.83333333333333337</v>
      </c>
      <c r="L5" s="57"/>
      <c r="M5" s="57"/>
      <c r="N5" s="57"/>
      <c r="O5" s="57"/>
    </row>
    <row r="6" spans="1:15" s="15" customFormat="1" x14ac:dyDescent="0.2">
      <c r="A6" s="31">
        <v>2025</v>
      </c>
      <c r="B6" s="33">
        <v>5</v>
      </c>
      <c r="C6" s="11">
        <v>19</v>
      </c>
      <c r="D6" s="12" t="s">
        <v>18</v>
      </c>
      <c r="E6" s="12" t="s">
        <v>20</v>
      </c>
      <c r="F6" s="13" t="s">
        <v>66</v>
      </c>
      <c r="G6" s="39">
        <v>12</v>
      </c>
      <c r="H6" s="39">
        <v>12</v>
      </c>
      <c r="I6" s="39">
        <v>0</v>
      </c>
      <c r="J6" s="60">
        <v>9</v>
      </c>
      <c r="K6" s="14">
        <f t="shared" si="0"/>
        <v>0.75</v>
      </c>
      <c r="L6" s="57"/>
      <c r="M6" s="57"/>
      <c r="N6" s="57"/>
      <c r="O6" s="57"/>
    </row>
    <row r="7" spans="1:15" s="15" customFormat="1" x14ac:dyDescent="0.2">
      <c r="A7" s="31">
        <v>2025</v>
      </c>
      <c r="B7" s="33">
        <v>5</v>
      </c>
      <c r="C7" s="11">
        <v>19</v>
      </c>
      <c r="D7" s="12" t="s">
        <v>18</v>
      </c>
      <c r="E7" s="12" t="s">
        <v>19</v>
      </c>
      <c r="F7" s="13" t="s">
        <v>66</v>
      </c>
      <c r="G7" s="39">
        <v>12</v>
      </c>
      <c r="H7" s="39">
        <v>12</v>
      </c>
      <c r="I7" s="39">
        <v>0</v>
      </c>
      <c r="J7" s="60">
        <v>10</v>
      </c>
      <c r="K7" s="14">
        <f t="shared" si="0"/>
        <v>0.83333333333333337</v>
      </c>
      <c r="L7" s="57"/>
      <c r="M7" s="57"/>
      <c r="N7" s="57"/>
      <c r="O7" s="57"/>
    </row>
    <row r="8" spans="1:15" s="15" customFormat="1" x14ac:dyDescent="0.2">
      <c r="A8" s="31">
        <v>2025</v>
      </c>
      <c r="B8" s="33">
        <v>5</v>
      </c>
      <c r="C8" s="11">
        <v>20</v>
      </c>
      <c r="D8" s="12" t="s">
        <v>58</v>
      </c>
      <c r="E8" s="12" t="s">
        <v>20</v>
      </c>
      <c r="F8" s="13" t="s">
        <v>67</v>
      </c>
      <c r="G8" s="39">
        <v>14</v>
      </c>
      <c r="H8" s="39">
        <v>8</v>
      </c>
      <c r="I8" s="39">
        <v>0</v>
      </c>
      <c r="J8" s="60">
        <v>6</v>
      </c>
      <c r="K8" s="14">
        <f t="shared" si="0"/>
        <v>0.75</v>
      </c>
      <c r="L8" s="57"/>
      <c r="M8" s="57"/>
      <c r="N8" s="57"/>
      <c r="O8" s="57"/>
    </row>
    <row r="9" spans="1:15" s="15" customFormat="1" x14ac:dyDescent="0.2">
      <c r="A9" s="31">
        <v>2025</v>
      </c>
      <c r="B9" s="33">
        <v>5</v>
      </c>
      <c r="C9" s="11">
        <v>20</v>
      </c>
      <c r="D9" s="12" t="s">
        <v>63</v>
      </c>
      <c r="E9" s="12" t="s">
        <v>16</v>
      </c>
      <c r="F9" s="13" t="s">
        <v>68</v>
      </c>
      <c r="G9" s="39">
        <v>6</v>
      </c>
      <c r="H9" s="39">
        <v>6</v>
      </c>
      <c r="I9" s="39">
        <v>0</v>
      </c>
      <c r="J9" s="60">
        <v>4</v>
      </c>
      <c r="K9" s="55">
        <f t="shared" si="0"/>
        <v>0.66666666666666663</v>
      </c>
      <c r="L9" s="57"/>
      <c r="M9" s="57"/>
      <c r="N9" s="57"/>
      <c r="O9" s="57"/>
    </row>
    <row r="10" spans="1:15" s="15" customFormat="1" x14ac:dyDescent="0.2">
      <c r="A10" s="31">
        <v>2025</v>
      </c>
      <c r="B10" s="33">
        <v>5</v>
      </c>
      <c r="C10" s="11">
        <v>20</v>
      </c>
      <c r="D10" s="12" t="s">
        <v>58</v>
      </c>
      <c r="E10" s="12" t="s">
        <v>19</v>
      </c>
      <c r="F10" s="13" t="s">
        <v>67</v>
      </c>
      <c r="G10" s="39">
        <v>15</v>
      </c>
      <c r="H10" s="39">
        <v>11</v>
      </c>
      <c r="I10" s="39">
        <v>0</v>
      </c>
      <c r="J10" s="60">
        <v>8</v>
      </c>
      <c r="K10" s="14">
        <f t="shared" si="0"/>
        <v>0.72727272727272729</v>
      </c>
      <c r="L10" s="57"/>
      <c r="M10" s="57"/>
      <c r="N10" s="57"/>
      <c r="O10" s="57"/>
    </row>
    <row r="11" spans="1:15" s="15" customFormat="1" x14ac:dyDescent="0.2">
      <c r="A11" s="31">
        <v>2025</v>
      </c>
      <c r="B11" s="33">
        <v>5</v>
      </c>
      <c r="C11" s="11">
        <v>20</v>
      </c>
      <c r="D11" s="12" t="s">
        <v>15</v>
      </c>
      <c r="E11" s="12" t="s">
        <v>27</v>
      </c>
      <c r="F11" s="13" t="s">
        <v>61</v>
      </c>
      <c r="G11" s="39">
        <v>6</v>
      </c>
      <c r="H11" s="39">
        <v>5</v>
      </c>
      <c r="I11" s="39">
        <v>0</v>
      </c>
      <c r="J11" s="60">
        <v>4</v>
      </c>
      <c r="K11" s="54">
        <f t="shared" si="0"/>
        <v>0.8</v>
      </c>
      <c r="L11" s="57"/>
      <c r="M11" s="57"/>
      <c r="N11" s="57"/>
      <c r="O11" s="57"/>
    </row>
    <row r="12" spans="1:15" s="15" customFormat="1" x14ac:dyDescent="0.2">
      <c r="A12" s="31">
        <v>2025</v>
      </c>
      <c r="B12" s="33">
        <v>5</v>
      </c>
      <c r="C12" s="11">
        <v>22</v>
      </c>
      <c r="D12" s="12" t="s">
        <v>58</v>
      </c>
      <c r="E12" s="12" t="s">
        <v>22</v>
      </c>
      <c r="F12" s="13" t="s">
        <v>67</v>
      </c>
      <c r="G12" s="39">
        <v>13</v>
      </c>
      <c r="H12" s="39">
        <v>13</v>
      </c>
      <c r="I12" s="39">
        <v>0</v>
      </c>
      <c r="J12" s="60">
        <v>11</v>
      </c>
      <c r="K12" s="14">
        <f t="shared" si="0"/>
        <v>0.84615384615384615</v>
      </c>
      <c r="L12" s="57"/>
      <c r="M12" s="57"/>
      <c r="N12" s="57"/>
      <c r="O12" s="57"/>
    </row>
    <row r="13" spans="1:15" s="15" customFormat="1" x14ac:dyDescent="0.2">
      <c r="A13" s="31">
        <v>2025</v>
      </c>
      <c r="B13" s="33">
        <v>5</v>
      </c>
      <c r="C13" s="11">
        <v>22</v>
      </c>
      <c r="D13" s="12" t="s">
        <v>15</v>
      </c>
      <c r="E13" s="12" t="s">
        <v>22</v>
      </c>
      <c r="F13" s="13" t="s">
        <v>66</v>
      </c>
      <c r="G13" s="39">
        <v>12</v>
      </c>
      <c r="H13" s="39">
        <v>11</v>
      </c>
      <c r="I13" s="39">
        <v>0</v>
      </c>
      <c r="J13" s="60">
        <v>8</v>
      </c>
      <c r="K13" s="14">
        <f t="shared" si="0"/>
        <v>0.72727272727272729</v>
      </c>
      <c r="L13" s="57"/>
      <c r="M13" s="57"/>
      <c r="N13" s="57"/>
      <c r="O13" s="57"/>
    </row>
    <row r="14" spans="1:15" s="15" customFormat="1" x14ac:dyDescent="0.2">
      <c r="A14" s="31">
        <v>2025</v>
      </c>
      <c r="B14" s="33">
        <v>5</v>
      </c>
      <c r="C14" s="11">
        <v>22</v>
      </c>
      <c r="D14" s="12" t="s">
        <v>58</v>
      </c>
      <c r="E14" s="12" t="s">
        <v>23</v>
      </c>
      <c r="F14" s="13" t="s">
        <v>67</v>
      </c>
      <c r="G14" s="39">
        <v>10</v>
      </c>
      <c r="H14" s="39">
        <v>5</v>
      </c>
      <c r="I14" s="39">
        <v>0</v>
      </c>
      <c r="J14" s="60">
        <v>4</v>
      </c>
      <c r="K14" s="14">
        <f t="shared" si="0"/>
        <v>0.8</v>
      </c>
      <c r="L14" s="57"/>
      <c r="M14" s="57"/>
      <c r="N14" s="57"/>
      <c r="O14" s="57"/>
    </row>
    <row r="15" spans="1:15" s="15" customFormat="1" x14ac:dyDescent="0.2">
      <c r="A15" s="31">
        <v>2025</v>
      </c>
      <c r="B15" s="33">
        <v>5</v>
      </c>
      <c r="C15" s="11">
        <v>22</v>
      </c>
      <c r="D15" s="12" t="s">
        <v>15</v>
      </c>
      <c r="E15" s="12" t="s">
        <v>23</v>
      </c>
      <c r="F15" s="13" t="s">
        <v>66</v>
      </c>
      <c r="G15" s="39">
        <v>12</v>
      </c>
      <c r="H15" s="39">
        <v>10</v>
      </c>
      <c r="I15" s="39">
        <v>0</v>
      </c>
      <c r="J15" s="60">
        <v>8</v>
      </c>
      <c r="K15" s="14">
        <f t="shared" si="0"/>
        <v>0.8</v>
      </c>
      <c r="L15" s="57"/>
      <c r="M15" s="57"/>
      <c r="N15" s="57"/>
      <c r="O15" s="57"/>
    </row>
    <row r="16" spans="1:15" s="15" customFormat="1" x14ac:dyDescent="0.2">
      <c r="A16" s="31">
        <v>2025</v>
      </c>
      <c r="B16" s="33">
        <v>5</v>
      </c>
      <c r="C16" s="11">
        <v>22</v>
      </c>
      <c r="D16" s="12" t="s">
        <v>63</v>
      </c>
      <c r="E16" s="12" t="s">
        <v>23</v>
      </c>
      <c r="F16" s="13" t="s">
        <v>68</v>
      </c>
      <c r="G16" s="53">
        <v>7</v>
      </c>
      <c r="H16" s="53">
        <v>7</v>
      </c>
      <c r="I16" s="53">
        <v>0</v>
      </c>
      <c r="J16" s="61">
        <v>5</v>
      </c>
      <c r="K16" s="14">
        <f t="shared" si="0"/>
        <v>0.7142857142857143</v>
      </c>
      <c r="L16" s="57"/>
      <c r="M16" s="57"/>
      <c r="N16" s="57"/>
      <c r="O16" s="57"/>
    </row>
    <row r="17" spans="1:15" s="15" customFormat="1" x14ac:dyDescent="0.2">
      <c r="A17" s="31">
        <v>2025</v>
      </c>
      <c r="B17" s="33">
        <v>5</v>
      </c>
      <c r="C17" s="11">
        <v>22</v>
      </c>
      <c r="D17" s="12" t="s">
        <v>63</v>
      </c>
      <c r="E17" s="12" t="s">
        <v>19</v>
      </c>
      <c r="F17" s="13" t="s">
        <v>68</v>
      </c>
      <c r="G17" s="39">
        <v>7</v>
      </c>
      <c r="H17" s="39">
        <v>7</v>
      </c>
      <c r="I17" s="39">
        <v>0</v>
      </c>
      <c r="J17" s="60">
        <v>5</v>
      </c>
      <c r="K17" s="14">
        <v>0.75</v>
      </c>
      <c r="L17" s="57"/>
      <c r="M17" s="57"/>
      <c r="N17" s="57"/>
      <c r="O17" s="57"/>
    </row>
    <row r="18" spans="1:15" s="15" customFormat="1" x14ac:dyDescent="0.2">
      <c r="A18" s="31">
        <v>2025</v>
      </c>
      <c r="B18" s="33">
        <v>5</v>
      </c>
      <c r="C18" s="11">
        <v>23</v>
      </c>
      <c r="D18" s="12" t="s">
        <v>58</v>
      </c>
      <c r="E18" s="12" t="s">
        <v>36</v>
      </c>
      <c r="F18" s="13" t="s">
        <v>46</v>
      </c>
      <c r="G18" s="53">
        <v>10</v>
      </c>
      <c r="H18" s="53">
        <v>9</v>
      </c>
      <c r="I18" s="53">
        <v>0</v>
      </c>
      <c r="J18" s="61">
        <v>8</v>
      </c>
      <c r="K18" s="14">
        <f t="shared" ref="K18:K28" si="1">IFERROR(J18/H18-I18/H18,"")</f>
        <v>0.88888888888888884</v>
      </c>
      <c r="L18" s="57"/>
      <c r="M18" s="57"/>
      <c r="N18" s="57"/>
      <c r="O18" s="57"/>
    </row>
    <row r="19" spans="1:15" s="15" customFormat="1" x14ac:dyDescent="0.2">
      <c r="A19" s="31">
        <v>2025</v>
      </c>
      <c r="B19" s="33">
        <v>5</v>
      </c>
      <c r="C19" s="11">
        <v>23</v>
      </c>
      <c r="D19" s="12" t="s">
        <v>18</v>
      </c>
      <c r="E19" s="12" t="s">
        <v>16</v>
      </c>
      <c r="F19" s="13" t="s">
        <v>69</v>
      </c>
      <c r="G19" s="39">
        <v>10</v>
      </c>
      <c r="H19" s="39">
        <v>10</v>
      </c>
      <c r="I19" s="39">
        <v>0</v>
      </c>
      <c r="J19" s="60">
        <v>7</v>
      </c>
      <c r="K19" s="14">
        <f t="shared" si="1"/>
        <v>0.7</v>
      </c>
      <c r="L19" s="57"/>
      <c r="M19" s="57"/>
      <c r="N19" s="57"/>
      <c r="O19" s="57"/>
    </row>
    <row r="20" spans="1:15" s="15" customFormat="1" x14ac:dyDescent="0.2">
      <c r="A20" s="31">
        <v>2025</v>
      </c>
      <c r="B20" s="33">
        <v>5</v>
      </c>
      <c r="C20" s="11">
        <v>26</v>
      </c>
      <c r="D20" s="12" t="s">
        <v>15</v>
      </c>
      <c r="E20" s="12" t="s">
        <v>16</v>
      </c>
      <c r="F20" s="13" t="s">
        <v>70</v>
      </c>
      <c r="G20" s="39">
        <v>12</v>
      </c>
      <c r="H20" s="39">
        <v>11</v>
      </c>
      <c r="I20" s="39">
        <v>0</v>
      </c>
      <c r="J20" s="60">
        <v>8</v>
      </c>
      <c r="K20" s="14">
        <f t="shared" si="1"/>
        <v>0.72727272727272729</v>
      </c>
      <c r="L20" s="57"/>
      <c r="M20" s="57"/>
      <c r="N20" s="57"/>
      <c r="O20" s="57"/>
    </row>
    <row r="21" spans="1:15" s="15" customFormat="1" x14ac:dyDescent="0.2">
      <c r="A21" s="31">
        <v>2025</v>
      </c>
      <c r="B21" s="33">
        <v>5</v>
      </c>
      <c r="C21" s="11">
        <v>27</v>
      </c>
      <c r="D21" s="12" t="s">
        <v>63</v>
      </c>
      <c r="E21" s="12" t="s">
        <v>20</v>
      </c>
      <c r="F21" s="13" t="s">
        <v>68</v>
      </c>
      <c r="G21" s="39">
        <v>7</v>
      </c>
      <c r="H21" s="39">
        <v>8</v>
      </c>
      <c r="I21" s="39">
        <v>0</v>
      </c>
      <c r="J21" s="60">
        <v>7</v>
      </c>
      <c r="K21" s="14">
        <f t="shared" si="1"/>
        <v>0.875</v>
      </c>
      <c r="L21" s="57"/>
      <c r="M21" s="57"/>
      <c r="N21" s="57"/>
      <c r="O21" s="57"/>
    </row>
    <row r="22" spans="1:15" s="15" customFormat="1" x14ac:dyDescent="0.2">
      <c r="A22" s="31">
        <v>2025</v>
      </c>
      <c r="B22" s="33">
        <v>5</v>
      </c>
      <c r="C22" s="11">
        <v>27</v>
      </c>
      <c r="D22" s="12" t="s">
        <v>63</v>
      </c>
      <c r="E22" s="12" t="s">
        <v>22</v>
      </c>
      <c r="F22" s="13" t="s">
        <v>68</v>
      </c>
      <c r="G22" s="39">
        <v>7</v>
      </c>
      <c r="H22" s="39">
        <v>8</v>
      </c>
      <c r="I22" s="39">
        <v>0</v>
      </c>
      <c r="J22" s="60">
        <v>6</v>
      </c>
      <c r="K22" s="14">
        <f t="shared" si="1"/>
        <v>0.75</v>
      </c>
      <c r="L22" s="57"/>
      <c r="M22" s="57"/>
      <c r="N22" s="57"/>
      <c r="O22" s="57"/>
    </row>
    <row r="23" spans="1:15" s="15" customFormat="1" x14ac:dyDescent="0.2">
      <c r="A23" s="31">
        <v>2025</v>
      </c>
      <c r="B23" s="33">
        <v>5</v>
      </c>
      <c r="C23" s="11">
        <v>27</v>
      </c>
      <c r="D23" s="12" t="s">
        <v>15</v>
      </c>
      <c r="E23" s="12" t="s">
        <v>35</v>
      </c>
      <c r="F23" s="13" t="s">
        <v>61</v>
      </c>
      <c r="G23" s="39">
        <v>3</v>
      </c>
      <c r="H23" s="39">
        <v>3</v>
      </c>
      <c r="I23" s="39">
        <v>0</v>
      </c>
      <c r="J23" s="60">
        <v>3</v>
      </c>
      <c r="K23" s="14">
        <f t="shared" si="1"/>
        <v>1</v>
      </c>
      <c r="L23" s="57"/>
      <c r="M23" s="57"/>
      <c r="N23" s="57"/>
      <c r="O23" s="57"/>
    </row>
    <row r="24" spans="1:15" s="15" customFormat="1" x14ac:dyDescent="0.2">
      <c r="A24" s="31">
        <v>2025</v>
      </c>
      <c r="B24" s="33">
        <v>5</v>
      </c>
      <c r="C24" s="11">
        <v>27</v>
      </c>
      <c r="D24" s="12" t="s">
        <v>15</v>
      </c>
      <c r="E24" s="12" t="s">
        <v>29</v>
      </c>
      <c r="F24" s="13" t="s">
        <v>61</v>
      </c>
      <c r="G24" s="39">
        <v>3</v>
      </c>
      <c r="H24" s="39">
        <v>3</v>
      </c>
      <c r="I24" s="39">
        <v>0</v>
      </c>
      <c r="J24" s="60">
        <v>3</v>
      </c>
      <c r="K24" s="14">
        <f t="shared" si="1"/>
        <v>1</v>
      </c>
      <c r="L24" s="57"/>
      <c r="M24" s="57"/>
      <c r="N24" s="57"/>
      <c r="O24" s="57"/>
    </row>
    <row r="25" spans="1:15" s="15" customFormat="1" x14ac:dyDescent="0.2">
      <c r="A25" s="31">
        <v>2025</v>
      </c>
      <c r="B25" s="33">
        <v>5</v>
      </c>
      <c r="C25" s="11">
        <v>27</v>
      </c>
      <c r="D25" s="12" t="s">
        <v>18</v>
      </c>
      <c r="E25" s="12" t="s">
        <v>27</v>
      </c>
      <c r="F25" s="13" t="s">
        <v>48</v>
      </c>
      <c r="G25" s="39">
        <v>10</v>
      </c>
      <c r="H25" s="39">
        <v>10</v>
      </c>
      <c r="I25" s="39">
        <v>0</v>
      </c>
      <c r="J25" s="60">
        <v>8</v>
      </c>
      <c r="K25" s="14">
        <f t="shared" si="1"/>
        <v>0.8</v>
      </c>
      <c r="L25" s="57"/>
      <c r="M25" s="57"/>
      <c r="N25" s="57"/>
      <c r="O25" s="57"/>
    </row>
    <row r="26" spans="1:15" s="15" customFormat="1" x14ac:dyDescent="0.2">
      <c r="A26" s="31">
        <v>2025</v>
      </c>
      <c r="B26" s="33">
        <v>5</v>
      </c>
      <c r="C26" s="11">
        <v>30</v>
      </c>
      <c r="D26" s="12" t="s">
        <v>25</v>
      </c>
      <c r="E26" s="12" t="s">
        <v>20</v>
      </c>
      <c r="F26" s="13" t="s">
        <v>69</v>
      </c>
      <c r="G26" s="53">
        <v>11</v>
      </c>
      <c r="H26" s="53"/>
      <c r="I26" s="53"/>
      <c r="J26" s="61"/>
      <c r="K26" s="56" t="str">
        <f t="shared" si="1"/>
        <v/>
      </c>
      <c r="L26" s="57"/>
      <c r="M26" s="57"/>
      <c r="N26" s="57"/>
      <c r="O26" s="57"/>
    </row>
    <row r="27" spans="1:15" s="15" customFormat="1" x14ac:dyDescent="0.2">
      <c r="A27" s="31">
        <v>2025</v>
      </c>
      <c r="B27" s="33">
        <v>5</v>
      </c>
      <c r="C27" s="11">
        <v>30</v>
      </c>
      <c r="D27" s="12" t="s">
        <v>25</v>
      </c>
      <c r="E27" s="12" t="s">
        <v>19</v>
      </c>
      <c r="F27" s="13" t="s">
        <v>69</v>
      </c>
      <c r="G27" s="39">
        <v>11</v>
      </c>
      <c r="H27" s="39"/>
      <c r="I27" s="39"/>
      <c r="J27" s="60"/>
      <c r="K27" s="56" t="str">
        <f t="shared" si="1"/>
        <v/>
      </c>
      <c r="L27" s="57"/>
      <c r="M27" s="57"/>
      <c r="N27" s="57"/>
      <c r="O27" s="57"/>
    </row>
    <row r="28" spans="1:15" s="15" customFormat="1" x14ac:dyDescent="0.2">
      <c r="A28" s="32">
        <v>2025</v>
      </c>
      <c r="B28" s="33">
        <v>5</v>
      </c>
      <c r="C28" s="17">
        <v>30</v>
      </c>
      <c r="D28" s="18" t="s">
        <v>18</v>
      </c>
      <c r="E28" s="18" t="s">
        <v>27</v>
      </c>
      <c r="F28" s="13" t="s">
        <v>57</v>
      </c>
      <c r="G28" s="39">
        <v>3</v>
      </c>
      <c r="H28" s="39">
        <v>3</v>
      </c>
      <c r="I28" s="39">
        <v>0</v>
      </c>
      <c r="J28" s="39">
        <v>3</v>
      </c>
      <c r="K28" s="14">
        <f t="shared" si="1"/>
        <v>1</v>
      </c>
      <c r="L28" s="57"/>
      <c r="M28" s="57"/>
      <c r="N28" s="57"/>
      <c r="O28" s="57"/>
    </row>
  </sheetData>
  <sortState xmlns:xlrd2="http://schemas.microsoft.com/office/spreadsheetml/2017/richdata2" ref="A1:K28">
    <sortCondition ref="C1:C28"/>
  </sortState>
  <dataValidations count="1">
    <dataValidation type="list" allowBlank="1" showInputMessage="1" showErrorMessage="1" sqref="E1:E28" xr:uid="{3451CF83-F518-4E2C-9C44-860C642979B8}">
      <formula1>"ЭИ,ДЦ,ФПП,ФОП,ОБП,РПУ,ПА,Картирование,5С,СР,СМЕД,АО,ОЕЕ,МРП"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8E886-D201-49CA-A956-191CA1A2A7DB}">
  <dimension ref="A1:J36"/>
  <sheetViews>
    <sheetView topLeftCell="A3" workbookViewId="0">
      <selection activeCell="J1" sqref="J1:J36"/>
    </sheetView>
  </sheetViews>
  <sheetFormatPr defaultRowHeight="15" x14ac:dyDescent="0.25"/>
  <cols>
    <col min="3" max="3" width="30.85546875" customWidth="1"/>
    <col min="4" max="4" width="17.7109375" customWidth="1"/>
    <col min="5" max="5" width="35" customWidth="1"/>
  </cols>
  <sheetData>
    <row r="1" spans="1:10" x14ac:dyDescent="0.25">
      <c r="A1" s="38">
        <v>6</v>
      </c>
      <c r="B1" s="4">
        <v>2</v>
      </c>
      <c r="C1" s="7" t="s">
        <v>15</v>
      </c>
      <c r="D1" s="7" t="s">
        <v>19</v>
      </c>
      <c r="E1" s="13" t="s">
        <v>70</v>
      </c>
      <c r="F1" s="39">
        <v>13</v>
      </c>
      <c r="G1" s="39">
        <v>10</v>
      </c>
      <c r="H1" s="39">
        <v>0</v>
      </c>
      <c r="I1" s="39">
        <v>7</v>
      </c>
      <c r="J1" s="10">
        <f t="shared" ref="J1" si="0">IFERROR(I1/G1-H1/G1,"")</f>
        <v>0.7</v>
      </c>
    </row>
    <row r="2" spans="1:10" x14ac:dyDescent="0.25">
      <c r="A2" s="38">
        <v>6</v>
      </c>
      <c r="B2" s="4">
        <v>20</v>
      </c>
      <c r="C2" s="5" t="s">
        <v>58</v>
      </c>
      <c r="D2" s="5" t="s">
        <v>20</v>
      </c>
      <c r="E2" s="40" t="s">
        <v>74</v>
      </c>
      <c r="F2" s="40">
        <v>4</v>
      </c>
      <c r="G2" s="40">
        <v>4</v>
      </c>
      <c r="H2" s="40">
        <v>0</v>
      </c>
      <c r="I2" s="40">
        <v>3</v>
      </c>
      <c r="J2" s="45">
        <f t="shared" ref="J2:J31" si="1">IFERROR(I2/G2-H2/G2,"")</f>
        <v>0.75</v>
      </c>
    </row>
    <row r="3" spans="1:10" x14ac:dyDescent="0.25">
      <c r="A3" s="38">
        <v>6</v>
      </c>
      <c r="B3" s="4">
        <v>2</v>
      </c>
      <c r="C3" s="5" t="s">
        <v>15</v>
      </c>
      <c r="D3" s="5" t="s">
        <v>20</v>
      </c>
      <c r="E3" s="6" t="s">
        <v>70</v>
      </c>
      <c r="F3" s="40">
        <v>13</v>
      </c>
      <c r="G3" s="40">
        <v>11</v>
      </c>
      <c r="H3" s="40">
        <v>0</v>
      </c>
      <c r="I3" s="40">
        <v>8</v>
      </c>
      <c r="J3" s="10">
        <f t="shared" si="1"/>
        <v>0.72727272727272729</v>
      </c>
    </row>
    <row r="4" spans="1:10" x14ac:dyDescent="0.25">
      <c r="A4" s="38">
        <v>6</v>
      </c>
      <c r="B4" s="4">
        <v>19</v>
      </c>
      <c r="C4" s="7" t="s">
        <v>15</v>
      </c>
      <c r="D4" s="7" t="s">
        <v>20</v>
      </c>
      <c r="E4" s="13" t="s">
        <v>73</v>
      </c>
      <c r="F4" s="39">
        <v>16</v>
      </c>
      <c r="G4" s="39">
        <v>12</v>
      </c>
      <c r="H4" s="39">
        <v>0</v>
      </c>
      <c r="I4" s="39">
        <v>9</v>
      </c>
      <c r="J4" s="45">
        <f t="shared" si="1"/>
        <v>0.75</v>
      </c>
    </row>
    <row r="5" spans="1:10" x14ac:dyDescent="0.25">
      <c r="A5" s="38">
        <v>6</v>
      </c>
      <c r="B5" s="4">
        <v>3</v>
      </c>
      <c r="C5" s="5" t="s">
        <v>25</v>
      </c>
      <c r="D5" s="48" t="s">
        <v>20</v>
      </c>
      <c r="E5" s="40" t="s">
        <v>72</v>
      </c>
      <c r="F5" s="40">
        <v>10</v>
      </c>
      <c r="G5" s="40">
        <v>4</v>
      </c>
      <c r="H5" s="40">
        <v>0</v>
      </c>
      <c r="I5" s="40">
        <v>4</v>
      </c>
      <c r="J5" s="45">
        <f t="shared" si="1"/>
        <v>1</v>
      </c>
    </row>
    <row r="6" spans="1:10" x14ac:dyDescent="0.25">
      <c r="A6" s="38">
        <v>6</v>
      </c>
      <c r="B6" s="4">
        <v>4</v>
      </c>
      <c r="C6" s="7" t="s">
        <v>45</v>
      </c>
      <c r="D6" s="18" t="s">
        <v>20</v>
      </c>
      <c r="E6" s="39" t="s">
        <v>71</v>
      </c>
      <c r="F6" s="39">
        <v>8</v>
      </c>
      <c r="G6" s="39">
        <v>7</v>
      </c>
      <c r="H6" s="39">
        <v>0</v>
      </c>
      <c r="I6" s="39">
        <v>7</v>
      </c>
      <c r="J6" s="10">
        <f t="shared" si="1"/>
        <v>1</v>
      </c>
    </row>
    <row r="7" spans="1:10" x14ac:dyDescent="0.25">
      <c r="A7" s="38">
        <v>6</v>
      </c>
      <c r="B7" s="4">
        <v>6</v>
      </c>
      <c r="C7" s="7" t="s">
        <v>18</v>
      </c>
      <c r="D7" s="18" t="s">
        <v>28</v>
      </c>
      <c r="E7" s="13" t="s">
        <v>48</v>
      </c>
      <c r="F7" s="39">
        <v>8</v>
      </c>
      <c r="G7" s="39">
        <v>7</v>
      </c>
      <c r="H7" s="39">
        <v>0</v>
      </c>
      <c r="I7" s="39">
        <v>6</v>
      </c>
      <c r="J7" s="10">
        <f t="shared" si="1"/>
        <v>0.8571428571428571</v>
      </c>
    </row>
    <row r="8" spans="1:10" x14ac:dyDescent="0.25">
      <c r="A8" s="38">
        <v>6</v>
      </c>
      <c r="B8" s="4">
        <v>9</v>
      </c>
      <c r="C8" s="5" t="s">
        <v>25</v>
      </c>
      <c r="D8" s="48" t="s">
        <v>28</v>
      </c>
      <c r="E8" s="41" t="s">
        <v>64</v>
      </c>
      <c r="F8" s="40">
        <v>6</v>
      </c>
      <c r="G8" s="40">
        <v>4</v>
      </c>
      <c r="H8" s="40">
        <v>0</v>
      </c>
      <c r="I8" s="40">
        <v>3</v>
      </c>
      <c r="J8" s="10">
        <f t="shared" si="1"/>
        <v>0.75</v>
      </c>
    </row>
    <row r="9" spans="1:10" x14ac:dyDescent="0.25">
      <c r="A9" s="38">
        <v>6</v>
      </c>
      <c r="B9" s="4">
        <v>25</v>
      </c>
      <c r="C9" s="5" t="s">
        <v>18</v>
      </c>
      <c r="D9" s="5" t="s">
        <v>22</v>
      </c>
      <c r="E9" s="40" t="s">
        <v>74</v>
      </c>
      <c r="F9" s="46">
        <v>4</v>
      </c>
      <c r="G9" s="46">
        <v>4</v>
      </c>
      <c r="H9" s="46">
        <v>0</v>
      </c>
      <c r="I9" s="46">
        <v>3</v>
      </c>
      <c r="J9" s="44">
        <f t="shared" si="1"/>
        <v>0.75</v>
      </c>
    </row>
    <row r="10" spans="1:10" x14ac:dyDescent="0.25">
      <c r="A10" s="38">
        <v>6</v>
      </c>
      <c r="B10" s="4">
        <v>5</v>
      </c>
      <c r="C10" s="7" t="s">
        <v>15</v>
      </c>
      <c r="D10" s="7" t="s">
        <v>22</v>
      </c>
      <c r="E10" s="13" t="s">
        <v>70</v>
      </c>
      <c r="F10" s="47">
        <v>13</v>
      </c>
      <c r="G10" s="47">
        <v>10</v>
      </c>
      <c r="H10" s="47">
        <v>0</v>
      </c>
      <c r="I10" s="47">
        <v>8</v>
      </c>
      <c r="J10" s="9">
        <f t="shared" si="1"/>
        <v>0.8</v>
      </c>
    </row>
    <row r="11" spans="1:10" x14ac:dyDescent="0.25">
      <c r="A11" s="38">
        <v>6</v>
      </c>
      <c r="B11" s="4">
        <v>24</v>
      </c>
      <c r="C11" s="5" t="s">
        <v>15</v>
      </c>
      <c r="D11" s="5" t="s">
        <v>22</v>
      </c>
      <c r="E11" s="41" t="s">
        <v>73</v>
      </c>
      <c r="F11" s="46">
        <v>16</v>
      </c>
      <c r="G11" s="46">
        <v>15</v>
      </c>
      <c r="H11" s="46">
        <v>0</v>
      </c>
      <c r="I11" s="46">
        <v>11</v>
      </c>
      <c r="J11" s="44">
        <f t="shared" si="1"/>
        <v>0.73333333333333328</v>
      </c>
    </row>
    <row r="12" spans="1:10" x14ac:dyDescent="0.25">
      <c r="A12" s="38">
        <v>6</v>
      </c>
      <c r="B12" s="4">
        <v>6</v>
      </c>
      <c r="C12" s="7" t="s">
        <v>25</v>
      </c>
      <c r="D12" s="18" t="s">
        <v>22</v>
      </c>
      <c r="E12" s="13" t="s">
        <v>69</v>
      </c>
      <c r="F12" s="39">
        <v>9</v>
      </c>
      <c r="G12" s="39">
        <v>7</v>
      </c>
      <c r="H12" s="39">
        <v>0</v>
      </c>
      <c r="I12" s="39">
        <v>6</v>
      </c>
      <c r="J12" s="10">
        <f t="shared" si="1"/>
        <v>0.8571428571428571</v>
      </c>
    </row>
    <row r="13" spans="1:10" x14ac:dyDescent="0.25">
      <c r="A13" s="38">
        <v>6</v>
      </c>
      <c r="B13" s="4">
        <v>4</v>
      </c>
      <c r="C13" s="18" t="s">
        <v>25</v>
      </c>
      <c r="D13" s="18" t="s">
        <v>22</v>
      </c>
      <c r="E13" s="39" t="s">
        <v>72</v>
      </c>
      <c r="F13" s="39">
        <v>9</v>
      </c>
      <c r="G13" s="39">
        <v>6</v>
      </c>
      <c r="H13" s="39">
        <v>0</v>
      </c>
      <c r="I13" s="39">
        <v>6</v>
      </c>
      <c r="J13" s="45">
        <f t="shared" si="1"/>
        <v>1</v>
      </c>
    </row>
    <row r="14" spans="1:10" x14ac:dyDescent="0.25">
      <c r="A14" s="38">
        <v>6</v>
      </c>
      <c r="B14" s="4">
        <v>9</v>
      </c>
      <c r="C14" s="48" t="s">
        <v>45</v>
      </c>
      <c r="D14" s="48" t="s">
        <v>22</v>
      </c>
      <c r="E14" s="40" t="s">
        <v>71</v>
      </c>
      <c r="F14" s="40">
        <v>11</v>
      </c>
      <c r="G14" s="40">
        <v>7</v>
      </c>
      <c r="H14" s="40">
        <v>0</v>
      </c>
      <c r="I14" s="40">
        <v>6</v>
      </c>
      <c r="J14" s="10">
        <f t="shared" si="1"/>
        <v>0.8571428571428571</v>
      </c>
    </row>
    <row r="15" spans="1:10" x14ac:dyDescent="0.25">
      <c r="A15" s="38">
        <v>6</v>
      </c>
      <c r="B15" s="4">
        <v>26</v>
      </c>
      <c r="C15" s="18" t="s">
        <v>58</v>
      </c>
      <c r="D15" s="18" t="s">
        <v>75</v>
      </c>
      <c r="E15" s="13" t="s">
        <v>57</v>
      </c>
      <c r="F15" s="39">
        <v>3</v>
      </c>
      <c r="G15" s="39">
        <v>3</v>
      </c>
      <c r="H15" s="39">
        <v>0</v>
      </c>
      <c r="I15" s="39">
        <v>3</v>
      </c>
      <c r="J15" s="45">
        <f t="shared" si="1"/>
        <v>1</v>
      </c>
    </row>
    <row r="16" spans="1:10" x14ac:dyDescent="0.25">
      <c r="A16" s="38">
        <v>6</v>
      </c>
      <c r="B16" s="4">
        <v>16</v>
      </c>
      <c r="C16" s="48" t="s">
        <v>58</v>
      </c>
      <c r="D16" s="48" t="s">
        <v>75</v>
      </c>
      <c r="E16" s="41" t="s">
        <v>24</v>
      </c>
      <c r="F16" s="40">
        <v>6</v>
      </c>
      <c r="G16" s="40">
        <v>6</v>
      </c>
      <c r="H16" s="40">
        <v>0</v>
      </c>
      <c r="I16" s="40">
        <v>5</v>
      </c>
      <c r="J16" s="45">
        <f t="shared" si="1"/>
        <v>0.83333333333333337</v>
      </c>
    </row>
    <row r="17" spans="1:10" x14ac:dyDescent="0.25">
      <c r="A17" s="38">
        <v>6</v>
      </c>
      <c r="B17" s="4">
        <v>5</v>
      </c>
      <c r="C17" s="48" t="s">
        <v>45</v>
      </c>
      <c r="D17" s="48" t="s">
        <v>36</v>
      </c>
      <c r="E17" s="41" t="s">
        <v>62</v>
      </c>
      <c r="F17" s="40">
        <v>8</v>
      </c>
      <c r="G17" s="40">
        <v>8</v>
      </c>
      <c r="H17" s="40">
        <v>0</v>
      </c>
      <c r="I17" s="40">
        <v>8</v>
      </c>
      <c r="J17" s="10">
        <f t="shared" si="1"/>
        <v>1</v>
      </c>
    </row>
    <row r="18" spans="1:10" x14ac:dyDescent="0.25">
      <c r="A18" s="38">
        <v>6</v>
      </c>
      <c r="B18" s="4">
        <v>18</v>
      </c>
      <c r="C18" s="48" t="s">
        <v>58</v>
      </c>
      <c r="D18" s="48" t="s">
        <v>16</v>
      </c>
      <c r="E18" s="40" t="s">
        <v>74</v>
      </c>
      <c r="F18" s="40">
        <v>3</v>
      </c>
      <c r="G18" s="40">
        <v>3</v>
      </c>
      <c r="H18" s="40">
        <v>1</v>
      </c>
      <c r="I18" s="40">
        <v>2</v>
      </c>
      <c r="J18" s="52">
        <f t="shared" si="1"/>
        <v>0.33333333333333331</v>
      </c>
    </row>
    <row r="19" spans="1:10" x14ac:dyDescent="0.25">
      <c r="A19" s="38">
        <v>6</v>
      </c>
      <c r="B19" s="4">
        <v>2</v>
      </c>
      <c r="C19" s="48" t="s">
        <v>25</v>
      </c>
      <c r="D19" s="48" t="s">
        <v>16</v>
      </c>
      <c r="E19" s="40" t="s">
        <v>72</v>
      </c>
      <c r="F19" s="40">
        <v>8</v>
      </c>
      <c r="G19" s="40">
        <v>7</v>
      </c>
      <c r="H19" s="40">
        <v>0</v>
      </c>
      <c r="I19" s="40">
        <v>6</v>
      </c>
      <c r="J19" s="63">
        <f t="shared" si="1"/>
        <v>0.8571428571428571</v>
      </c>
    </row>
    <row r="20" spans="1:10" x14ac:dyDescent="0.25">
      <c r="A20" s="38">
        <v>6</v>
      </c>
      <c r="B20" s="4">
        <v>17</v>
      </c>
      <c r="C20" s="7" t="s">
        <v>25</v>
      </c>
      <c r="D20" s="7" t="s">
        <v>16</v>
      </c>
      <c r="E20" s="13" t="s">
        <v>73</v>
      </c>
      <c r="F20" s="47">
        <v>15</v>
      </c>
      <c r="G20" s="47">
        <v>10</v>
      </c>
      <c r="H20" s="47">
        <v>0</v>
      </c>
      <c r="I20" s="47">
        <v>5</v>
      </c>
      <c r="J20" s="44">
        <f t="shared" si="1"/>
        <v>0.5</v>
      </c>
    </row>
    <row r="21" spans="1:10" x14ac:dyDescent="0.25">
      <c r="A21" s="38">
        <v>6</v>
      </c>
      <c r="B21" s="4">
        <v>3</v>
      </c>
      <c r="C21" s="18" t="s">
        <v>45</v>
      </c>
      <c r="D21" s="18" t="s">
        <v>16</v>
      </c>
      <c r="E21" s="39" t="s">
        <v>71</v>
      </c>
      <c r="F21" s="39">
        <v>12</v>
      </c>
      <c r="G21" s="39">
        <v>8</v>
      </c>
      <c r="H21" s="39">
        <v>0</v>
      </c>
      <c r="I21" s="39">
        <v>7</v>
      </c>
      <c r="J21" s="10">
        <f t="shared" si="1"/>
        <v>0.875</v>
      </c>
    </row>
    <row r="22" spans="1:10" x14ac:dyDescent="0.25">
      <c r="A22" s="38">
        <v>6</v>
      </c>
      <c r="B22" s="4">
        <v>6</v>
      </c>
      <c r="C22" s="48" t="s">
        <v>18</v>
      </c>
      <c r="D22" s="48" t="s">
        <v>35</v>
      </c>
      <c r="E22" s="41" t="s">
        <v>48</v>
      </c>
      <c r="F22" s="40">
        <v>8</v>
      </c>
      <c r="G22" s="40">
        <v>8</v>
      </c>
      <c r="H22" s="40">
        <v>0</v>
      </c>
      <c r="I22" s="40">
        <v>6</v>
      </c>
      <c r="J22" s="10">
        <f t="shared" si="1"/>
        <v>0.75</v>
      </c>
    </row>
    <row r="23" spans="1:10" x14ac:dyDescent="0.25">
      <c r="A23" s="38">
        <v>6</v>
      </c>
      <c r="B23" s="4">
        <v>25</v>
      </c>
      <c r="C23" s="18" t="s">
        <v>18</v>
      </c>
      <c r="D23" s="18" t="s">
        <v>23</v>
      </c>
      <c r="E23" s="39" t="s">
        <v>74</v>
      </c>
      <c r="F23" s="39">
        <v>4</v>
      </c>
      <c r="G23" s="39">
        <v>4</v>
      </c>
      <c r="H23" s="39">
        <v>0</v>
      </c>
      <c r="I23" s="39">
        <v>3</v>
      </c>
      <c r="J23" s="45">
        <f t="shared" si="1"/>
        <v>0.75</v>
      </c>
    </row>
    <row r="24" spans="1:10" x14ac:dyDescent="0.25">
      <c r="A24" s="38">
        <v>6</v>
      </c>
      <c r="B24" s="4">
        <v>5</v>
      </c>
      <c r="C24" s="48" t="s">
        <v>15</v>
      </c>
      <c r="D24" s="48" t="s">
        <v>23</v>
      </c>
      <c r="E24" s="41" t="s">
        <v>70</v>
      </c>
      <c r="F24" s="40">
        <v>13</v>
      </c>
      <c r="G24" s="40">
        <v>10</v>
      </c>
      <c r="H24" s="40">
        <v>0</v>
      </c>
      <c r="I24" s="40">
        <v>7</v>
      </c>
      <c r="J24" s="10">
        <f t="shared" si="1"/>
        <v>0.7</v>
      </c>
    </row>
    <row r="25" spans="1:10" x14ac:dyDescent="0.25">
      <c r="A25" s="38">
        <v>6</v>
      </c>
      <c r="B25" s="4">
        <v>24</v>
      </c>
      <c r="C25" s="18" t="s">
        <v>15</v>
      </c>
      <c r="D25" s="18" t="s">
        <v>23</v>
      </c>
      <c r="E25" s="13" t="s">
        <v>73</v>
      </c>
      <c r="F25" s="39">
        <v>16</v>
      </c>
      <c r="G25" s="39">
        <v>13</v>
      </c>
      <c r="H25" s="39">
        <v>0</v>
      </c>
      <c r="I25" s="39">
        <v>10</v>
      </c>
      <c r="J25" s="45">
        <f t="shared" si="1"/>
        <v>0.76923076923076927</v>
      </c>
    </row>
    <row r="26" spans="1:10" x14ac:dyDescent="0.25">
      <c r="A26" s="38">
        <v>6</v>
      </c>
      <c r="B26" s="4">
        <v>6</v>
      </c>
      <c r="C26" s="48" t="s">
        <v>25</v>
      </c>
      <c r="D26" s="48" t="s">
        <v>23</v>
      </c>
      <c r="E26" s="41" t="s">
        <v>69</v>
      </c>
      <c r="F26" s="40">
        <v>9</v>
      </c>
      <c r="G26" s="40">
        <v>5</v>
      </c>
      <c r="H26" s="40">
        <v>0</v>
      </c>
      <c r="I26" s="40">
        <v>4</v>
      </c>
      <c r="J26" s="10">
        <f t="shared" si="1"/>
        <v>0.8</v>
      </c>
    </row>
    <row r="27" spans="1:10" x14ac:dyDescent="0.25">
      <c r="A27" s="38">
        <v>6</v>
      </c>
      <c r="B27" s="4">
        <v>4</v>
      </c>
      <c r="C27" s="48" t="s">
        <v>25</v>
      </c>
      <c r="D27" s="48" t="s">
        <v>23</v>
      </c>
      <c r="E27" s="40" t="s">
        <v>72</v>
      </c>
      <c r="F27" s="40">
        <v>9</v>
      </c>
      <c r="G27" s="40">
        <v>6</v>
      </c>
      <c r="H27" s="40">
        <v>0</v>
      </c>
      <c r="I27" s="40">
        <v>6</v>
      </c>
      <c r="J27" s="45">
        <f t="shared" si="1"/>
        <v>1</v>
      </c>
    </row>
    <row r="28" spans="1:10" x14ac:dyDescent="0.25">
      <c r="A28" s="38">
        <v>6</v>
      </c>
      <c r="B28" s="4">
        <v>9</v>
      </c>
      <c r="C28" s="18" t="s">
        <v>45</v>
      </c>
      <c r="D28" s="18" t="s">
        <v>23</v>
      </c>
      <c r="E28" s="39" t="s">
        <v>71</v>
      </c>
      <c r="F28" s="39">
        <v>10</v>
      </c>
      <c r="G28" s="39">
        <v>7</v>
      </c>
      <c r="H28" s="39">
        <v>0</v>
      </c>
      <c r="I28" s="39">
        <v>7</v>
      </c>
      <c r="J28" s="10">
        <f t="shared" si="1"/>
        <v>1</v>
      </c>
    </row>
    <row r="29" spans="1:10" x14ac:dyDescent="0.25">
      <c r="A29" s="38">
        <v>6</v>
      </c>
      <c r="B29" s="4">
        <v>20</v>
      </c>
      <c r="C29" s="7" t="s">
        <v>58</v>
      </c>
      <c r="D29" s="7" t="s">
        <v>19</v>
      </c>
      <c r="E29" s="39" t="s">
        <v>74</v>
      </c>
      <c r="F29" s="47">
        <v>4</v>
      </c>
      <c r="G29" s="47">
        <v>4</v>
      </c>
      <c r="H29" s="47">
        <v>0</v>
      </c>
      <c r="I29" s="47">
        <v>3</v>
      </c>
      <c r="J29" s="44">
        <f t="shared" si="1"/>
        <v>0.75</v>
      </c>
    </row>
    <row r="30" spans="1:10" x14ac:dyDescent="0.25">
      <c r="A30" s="38">
        <v>6</v>
      </c>
      <c r="B30" s="4">
        <v>19</v>
      </c>
      <c r="C30" s="48" t="s">
        <v>15</v>
      </c>
      <c r="D30" s="48" t="s">
        <v>19</v>
      </c>
      <c r="E30" s="41" t="s">
        <v>73</v>
      </c>
      <c r="F30" s="40">
        <v>16</v>
      </c>
      <c r="G30" s="40">
        <v>12</v>
      </c>
      <c r="H30" s="40">
        <v>0</v>
      </c>
      <c r="I30" s="40">
        <v>9</v>
      </c>
      <c r="J30" s="52">
        <f t="shared" si="1"/>
        <v>0.75</v>
      </c>
    </row>
    <row r="31" spans="1:10" x14ac:dyDescent="0.25">
      <c r="A31" s="38">
        <v>6</v>
      </c>
      <c r="B31" s="4">
        <v>3</v>
      </c>
      <c r="C31" s="18" t="s">
        <v>25</v>
      </c>
      <c r="D31" s="18" t="s">
        <v>19</v>
      </c>
      <c r="E31" s="39" t="s">
        <v>72</v>
      </c>
      <c r="F31" s="39">
        <v>11</v>
      </c>
      <c r="G31" s="39">
        <v>4</v>
      </c>
      <c r="H31" s="39">
        <v>0</v>
      </c>
      <c r="I31" s="39">
        <v>3</v>
      </c>
      <c r="J31" s="45">
        <f t="shared" si="1"/>
        <v>0.75</v>
      </c>
    </row>
    <row r="32" spans="1:10" x14ac:dyDescent="0.25">
      <c r="A32" s="38">
        <v>6</v>
      </c>
      <c r="B32" s="4">
        <v>4</v>
      </c>
      <c r="C32" s="48" t="s">
        <v>45</v>
      </c>
      <c r="D32" s="48" t="s">
        <v>19</v>
      </c>
      <c r="E32" s="40" t="s">
        <v>71</v>
      </c>
      <c r="F32" s="40">
        <v>8</v>
      </c>
      <c r="G32" s="40">
        <v>7</v>
      </c>
      <c r="H32" s="40">
        <v>0</v>
      </c>
      <c r="I32" s="40">
        <v>7</v>
      </c>
      <c r="J32" s="10">
        <v>1</v>
      </c>
    </row>
    <row r="33" spans="1:10" x14ac:dyDescent="0.25">
      <c r="A33" s="38">
        <v>6</v>
      </c>
      <c r="B33" s="4">
        <v>4</v>
      </c>
      <c r="C33" s="18" t="s">
        <v>18</v>
      </c>
      <c r="D33" s="18" t="s">
        <v>27</v>
      </c>
      <c r="E33" s="13" t="s">
        <v>56</v>
      </c>
      <c r="F33" s="39">
        <v>8</v>
      </c>
      <c r="G33" s="39">
        <v>8</v>
      </c>
      <c r="H33" s="39">
        <v>0</v>
      </c>
      <c r="I33" s="39">
        <v>6</v>
      </c>
      <c r="J33" s="10">
        <f>IFERROR(I33/G33-H33/G33,"")</f>
        <v>0.75</v>
      </c>
    </row>
    <row r="34" spans="1:10" x14ac:dyDescent="0.25">
      <c r="A34" s="38">
        <v>6</v>
      </c>
      <c r="B34" s="4">
        <v>16</v>
      </c>
      <c r="C34" s="18" t="s">
        <v>58</v>
      </c>
      <c r="D34" s="18" t="s">
        <v>27</v>
      </c>
      <c r="E34" s="13" t="s">
        <v>24</v>
      </c>
      <c r="F34" s="39">
        <v>6</v>
      </c>
      <c r="G34" s="39">
        <v>6</v>
      </c>
      <c r="H34" s="39">
        <v>0</v>
      </c>
      <c r="I34" s="39">
        <v>5</v>
      </c>
      <c r="J34" s="45">
        <f>IFERROR(I34/G34-H34/G34,"")</f>
        <v>0.83333333333333337</v>
      </c>
    </row>
    <row r="35" spans="1:10" x14ac:dyDescent="0.25">
      <c r="A35" s="38">
        <v>6</v>
      </c>
      <c r="B35" s="4">
        <v>9</v>
      </c>
      <c r="C35" s="18" t="s">
        <v>25</v>
      </c>
      <c r="D35" s="18" t="s">
        <v>27</v>
      </c>
      <c r="E35" s="13" t="s">
        <v>64</v>
      </c>
      <c r="F35" s="39">
        <v>6</v>
      </c>
      <c r="G35" s="39">
        <v>4</v>
      </c>
      <c r="H35" s="39">
        <v>0</v>
      </c>
      <c r="I35" s="39">
        <v>4</v>
      </c>
      <c r="J35" s="10">
        <f>IFERROR(I35/G35-H35/G35,"")</f>
        <v>1</v>
      </c>
    </row>
    <row r="36" spans="1:10" x14ac:dyDescent="0.25">
      <c r="A36" s="38">
        <v>6</v>
      </c>
      <c r="B36" s="4">
        <v>26</v>
      </c>
      <c r="C36" s="48" t="s">
        <v>45</v>
      </c>
      <c r="D36" s="48" t="s">
        <v>27</v>
      </c>
      <c r="E36" s="41" t="s">
        <v>47</v>
      </c>
      <c r="F36" s="40">
        <v>7</v>
      </c>
      <c r="G36" s="40">
        <v>7</v>
      </c>
      <c r="H36" s="40">
        <v>0</v>
      </c>
      <c r="I36" s="40">
        <v>7</v>
      </c>
      <c r="J36" s="45">
        <f>IFERROR(I36/G36-H36/G36,"")</f>
        <v>1</v>
      </c>
    </row>
  </sheetData>
  <sortState xmlns:xlrd2="http://schemas.microsoft.com/office/spreadsheetml/2017/richdata2" ref="A2:J36">
    <sortCondition ref="D1:D36"/>
  </sortState>
  <dataValidations count="2">
    <dataValidation type="list" allowBlank="1" showInputMessage="1" showErrorMessage="1" sqref="D1:D4" xr:uid="{FA962B59-C1E8-43D1-A6D1-E00A16BBFB94}">
      <formula1>"ЭИ,ДЦ,ФПП,ФОП,ОБП,РПУ,ПА,Картирование,5С,СР,СМЕД,АО,ОЕЕ,МРП"</formula1>
    </dataValidation>
    <dataValidation type="list" allowBlank="1" showInputMessage="1" showErrorMessage="1" sqref="D5:D36" xr:uid="{7BAC7442-E7CF-46AD-A85A-B7237357F1BF}">
      <formula1>"ФОП,ФПП,РПУ, ПА, ОБП, 5С, Картирование, ДЦ, ЭИЦ, СР, ОЕЕ, SMED, АО, Мет.реш.проблем"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EA5C1-38E6-47D2-96C6-3ECE4A147625}">
  <dimension ref="A1:J53"/>
  <sheetViews>
    <sheetView topLeftCell="A34" workbookViewId="0">
      <selection activeCell="L49" sqref="L49"/>
    </sheetView>
  </sheetViews>
  <sheetFormatPr defaultRowHeight="15" x14ac:dyDescent="0.25"/>
  <cols>
    <col min="3" max="3" width="32" customWidth="1"/>
    <col min="4" max="4" width="19.140625" customWidth="1"/>
    <col min="5" max="5" width="34.5703125" customWidth="1"/>
  </cols>
  <sheetData>
    <row r="1" spans="1:10" x14ac:dyDescent="0.25">
      <c r="A1" s="38">
        <v>7</v>
      </c>
      <c r="B1" s="4">
        <v>1</v>
      </c>
      <c r="C1" s="18" t="s">
        <v>25</v>
      </c>
      <c r="D1" s="18" t="s">
        <v>16</v>
      </c>
      <c r="E1" s="13" t="s">
        <v>76</v>
      </c>
      <c r="F1" s="39">
        <v>11</v>
      </c>
      <c r="G1" s="39">
        <v>7</v>
      </c>
      <c r="H1" s="39">
        <v>1</v>
      </c>
      <c r="I1" s="39">
        <v>5</v>
      </c>
      <c r="J1" s="43">
        <v>0.63</v>
      </c>
    </row>
    <row r="2" spans="1:10" x14ac:dyDescent="0.25">
      <c r="A2" s="38">
        <v>7</v>
      </c>
      <c r="B2" s="4">
        <v>18</v>
      </c>
      <c r="C2" s="48" t="s">
        <v>18</v>
      </c>
      <c r="D2" s="48" t="s">
        <v>20</v>
      </c>
      <c r="E2" s="41" t="s">
        <v>83</v>
      </c>
      <c r="F2" s="40">
        <v>6</v>
      </c>
      <c r="G2" s="40">
        <v>6</v>
      </c>
      <c r="H2" s="40">
        <v>0</v>
      </c>
      <c r="I2" s="40">
        <v>5</v>
      </c>
      <c r="J2" s="10">
        <f t="shared" ref="J2:J21" si="0">IFERROR(I2/G2-H2/G2,"")</f>
        <v>0.83333333333333337</v>
      </c>
    </row>
    <row r="3" spans="1:10" x14ac:dyDescent="0.25">
      <c r="A3" s="38">
        <v>7</v>
      </c>
      <c r="B3" s="4">
        <v>29</v>
      </c>
      <c r="C3" s="48" t="s">
        <v>18</v>
      </c>
      <c r="D3" s="48" t="s">
        <v>20</v>
      </c>
      <c r="E3" s="41" t="s">
        <v>85</v>
      </c>
      <c r="F3" s="40">
        <v>13</v>
      </c>
      <c r="G3" s="40">
        <v>12</v>
      </c>
      <c r="H3" s="40">
        <v>1</v>
      </c>
      <c r="I3" s="40">
        <v>11</v>
      </c>
      <c r="J3" s="10">
        <f t="shared" si="0"/>
        <v>0.83333333333333326</v>
      </c>
    </row>
    <row r="4" spans="1:10" x14ac:dyDescent="0.25">
      <c r="A4" s="38">
        <v>7</v>
      </c>
      <c r="B4" s="4">
        <v>30</v>
      </c>
      <c r="C4" s="18" t="s">
        <v>18</v>
      </c>
      <c r="D4" s="18" t="s">
        <v>84</v>
      </c>
      <c r="E4" s="39" t="s">
        <v>74</v>
      </c>
      <c r="F4" s="39">
        <v>8</v>
      </c>
      <c r="G4" s="39">
        <v>8</v>
      </c>
      <c r="H4" s="39">
        <v>0</v>
      </c>
      <c r="I4" s="39">
        <v>8</v>
      </c>
      <c r="J4" s="10">
        <f t="shared" si="0"/>
        <v>1</v>
      </c>
    </row>
    <row r="5" spans="1:10" x14ac:dyDescent="0.25">
      <c r="A5" s="38">
        <v>7</v>
      </c>
      <c r="B5" s="4">
        <v>16</v>
      </c>
      <c r="C5" s="18" t="s">
        <v>18</v>
      </c>
      <c r="D5" s="18" t="s">
        <v>22</v>
      </c>
      <c r="E5" s="13" t="s">
        <v>83</v>
      </c>
      <c r="F5" s="39">
        <v>8</v>
      </c>
      <c r="G5" s="39">
        <v>8</v>
      </c>
      <c r="H5" s="39">
        <v>0</v>
      </c>
      <c r="I5" s="39">
        <v>6</v>
      </c>
      <c r="J5" s="10">
        <f t="shared" si="0"/>
        <v>0.75</v>
      </c>
    </row>
    <row r="6" spans="1:10" x14ac:dyDescent="0.25">
      <c r="A6" s="38">
        <v>7</v>
      </c>
      <c r="B6" s="4">
        <v>1</v>
      </c>
      <c r="C6" s="18" t="s">
        <v>18</v>
      </c>
      <c r="D6" s="18" t="s">
        <v>16</v>
      </c>
      <c r="E6" s="13" t="s">
        <v>78</v>
      </c>
      <c r="F6" s="39">
        <v>12</v>
      </c>
      <c r="G6" s="39">
        <v>12</v>
      </c>
      <c r="H6" s="39">
        <v>0</v>
      </c>
      <c r="I6" s="39">
        <v>11</v>
      </c>
      <c r="J6" s="10">
        <f t="shared" si="0"/>
        <v>0.91666666666666663</v>
      </c>
    </row>
    <row r="7" spans="1:10" x14ac:dyDescent="0.25">
      <c r="A7" s="38">
        <v>7</v>
      </c>
      <c r="B7" s="4">
        <v>8</v>
      </c>
      <c r="C7" s="48" t="s">
        <v>18</v>
      </c>
      <c r="D7" s="48" t="s">
        <v>16</v>
      </c>
      <c r="E7" s="41" t="s">
        <v>81</v>
      </c>
      <c r="F7" s="40">
        <v>13</v>
      </c>
      <c r="G7" s="40">
        <v>13</v>
      </c>
      <c r="H7" s="40">
        <v>0</v>
      </c>
      <c r="I7" s="40">
        <v>10</v>
      </c>
      <c r="J7" s="10">
        <f t="shared" si="0"/>
        <v>0.76923076923076927</v>
      </c>
    </row>
    <row r="8" spans="1:10" x14ac:dyDescent="0.25">
      <c r="A8" s="38">
        <v>7</v>
      </c>
      <c r="B8" s="4">
        <v>16</v>
      </c>
      <c r="C8" s="48" t="s">
        <v>18</v>
      </c>
      <c r="D8" s="48" t="s">
        <v>23</v>
      </c>
      <c r="E8" s="41" t="s">
        <v>83</v>
      </c>
      <c r="F8" s="40">
        <v>8</v>
      </c>
      <c r="G8" s="40">
        <v>8</v>
      </c>
      <c r="H8" s="40">
        <v>0</v>
      </c>
      <c r="I8" s="40">
        <v>6</v>
      </c>
      <c r="J8" s="10">
        <f t="shared" si="0"/>
        <v>0.75</v>
      </c>
    </row>
    <row r="9" spans="1:10" x14ac:dyDescent="0.25">
      <c r="A9" s="38">
        <v>7</v>
      </c>
      <c r="B9" s="4">
        <v>18</v>
      </c>
      <c r="C9" s="18" t="s">
        <v>18</v>
      </c>
      <c r="D9" s="18" t="s">
        <v>19</v>
      </c>
      <c r="E9" s="13" t="s">
        <v>83</v>
      </c>
      <c r="F9" s="39">
        <v>6</v>
      </c>
      <c r="G9" s="39">
        <v>6</v>
      </c>
      <c r="H9" s="39">
        <v>0</v>
      </c>
      <c r="I9" s="39">
        <v>5</v>
      </c>
      <c r="J9" s="10">
        <f t="shared" si="0"/>
        <v>0.83333333333333337</v>
      </c>
    </row>
    <row r="10" spans="1:10" x14ac:dyDescent="0.25">
      <c r="A10" s="38">
        <v>7</v>
      </c>
      <c r="B10" s="4">
        <v>29</v>
      </c>
      <c r="C10" s="18" t="s">
        <v>18</v>
      </c>
      <c r="D10" s="18" t="s">
        <v>19</v>
      </c>
      <c r="E10" s="13" t="s">
        <v>85</v>
      </c>
      <c r="F10" s="39">
        <v>13</v>
      </c>
      <c r="G10" s="39">
        <v>13</v>
      </c>
      <c r="H10" s="39">
        <v>0</v>
      </c>
      <c r="I10" s="39">
        <v>11</v>
      </c>
      <c r="J10" s="10">
        <f t="shared" si="0"/>
        <v>0.84615384615384615</v>
      </c>
    </row>
    <row r="11" spans="1:10" x14ac:dyDescent="0.25">
      <c r="A11" s="38">
        <v>7</v>
      </c>
      <c r="B11" s="4">
        <v>17</v>
      </c>
      <c r="C11" s="18" t="s">
        <v>18</v>
      </c>
      <c r="D11" s="18" t="s">
        <v>27</v>
      </c>
      <c r="E11" s="13" t="s">
        <v>74</v>
      </c>
      <c r="F11" s="39">
        <v>7</v>
      </c>
      <c r="G11" s="39">
        <v>7</v>
      </c>
      <c r="H11" s="39">
        <v>0</v>
      </c>
      <c r="I11" s="39">
        <v>6</v>
      </c>
      <c r="J11" s="10">
        <f t="shared" si="0"/>
        <v>0.8571428571428571</v>
      </c>
    </row>
    <row r="12" spans="1:10" x14ac:dyDescent="0.25">
      <c r="A12" s="38">
        <v>7</v>
      </c>
      <c r="B12" s="4">
        <v>3</v>
      </c>
      <c r="C12" s="18" t="s">
        <v>58</v>
      </c>
      <c r="D12" s="18" t="s">
        <v>20</v>
      </c>
      <c r="E12" s="13" t="s">
        <v>77</v>
      </c>
      <c r="F12" s="39">
        <v>10</v>
      </c>
      <c r="G12" s="39">
        <v>10</v>
      </c>
      <c r="H12" s="39">
        <v>0</v>
      </c>
      <c r="I12" s="39">
        <v>8</v>
      </c>
      <c r="J12" s="10">
        <f t="shared" si="0"/>
        <v>0.8</v>
      </c>
    </row>
    <row r="13" spans="1:10" x14ac:dyDescent="0.25">
      <c r="A13" s="38">
        <v>7</v>
      </c>
      <c r="B13" s="4">
        <v>4</v>
      </c>
      <c r="C13" s="18" t="s">
        <v>58</v>
      </c>
      <c r="D13" s="18" t="s">
        <v>22</v>
      </c>
      <c r="E13" s="13" t="s">
        <v>78</v>
      </c>
      <c r="F13" s="39">
        <v>13</v>
      </c>
      <c r="G13" s="39">
        <v>10</v>
      </c>
      <c r="H13" s="39">
        <v>0</v>
      </c>
      <c r="I13" s="39">
        <v>8</v>
      </c>
      <c r="J13" s="10">
        <f t="shared" si="0"/>
        <v>0.8</v>
      </c>
    </row>
    <row r="14" spans="1:10" x14ac:dyDescent="0.25">
      <c r="A14" s="38">
        <v>7</v>
      </c>
      <c r="B14" s="4">
        <v>10</v>
      </c>
      <c r="C14" s="48" t="s">
        <v>58</v>
      </c>
      <c r="D14" s="48" t="s">
        <v>22</v>
      </c>
      <c r="E14" s="41" t="s">
        <v>77</v>
      </c>
      <c r="F14" s="40">
        <v>10</v>
      </c>
      <c r="G14" s="40">
        <v>10</v>
      </c>
      <c r="H14" s="40">
        <v>0</v>
      </c>
      <c r="I14" s="40">
        <v>10</v>
      </c>
      <c r="J14" s="45">
        <f t="shared" si="0"/>
        <v>1</v>
      </c>
    </row>
    <row r="15" spans="1:10" x14ac:dyDescent="0.25">
      <c r="A15" s="38">
        <v>7</v>
      </c>
      <c r="B15" s="4">
        <v>11</v>
      </c>
      <c r="C15" s="18" t="s">
        <v>58</v>
      </c>
      <c r="D15" s="18" t="s">
        <v>22</v>
      </c>
      <c r="E15" s="13" t="s">
        <v>81</v>
      </c>
      <c r="F15" s="39">
        <v>13</v>
      </c>
      <c r="G15" s="39">
        <v>13</v>
      </c>
      <c r="H15" s="39">
        <v>0</v>
      </c>
      <c r="I15" s="39">
        <v>12</v>
      </c>
      <c r="J15" s="10">
        <f t="shared" si="0"/>
        <v>0.92307692307692313</v>
      </c>
    </row>
    <row r="16" spans="1:10" x14ac:dyDescent="0.25">
      <c r="A16" s="38">
        <v>7</v>
      </c>
      <c r="B16" s="4">
        <v>4</v>
      </c>
      <c r="C16" s="48" t="s">
        <v>58</v>
      </c>
      <c r="D16" s="48" t="s">
        <v>23</v>
      </c>
      <c r="E16" s="41" t="s">
        <v>78</v>
      </c>
      <c r="F16" s="40">
        <v>13</v>
      </c>
      <c r="G16" s="40">
        <v>10</v>
      </c>
      <c r="H16" s="40">
        <v>1</v>
      </c>
      <c r="I16" s="40">
        <v>7</v>
      </c>
      <c r="J16" s="43">
        <f t="shared" si="0"/>
        <v>0.6</v>
      </c>
    </row>
    <row r="17" spans="1:10" x14ac:dyDescent="0.25">
      <c r="A17" s="38">
        <v>7</v>
      </c>
      <c r="B17" s="4">
        <v>10</v>
      </c>
      <c r="C17" s="7" t="s">
        <v>58</v>
      </c>
      <c r="D17" s="7" t="s">
        <v>23</v>
      </c>
      <c r="E17" s="8" t="s">
        <v>77</v>
      </c>
      <c r="F17" s="47">
        <v>10</v>
      </c>
      <c r="G17" s="47">
        <v>10</v>
      </c>
      <c r="H17" s="47">
        <v>0</v>
      </c>
      <c r="I17" s="47">
        <v>9</v>
      </c>
      <c r="J17" s="44">
        <f t="shared" si="0"/>
        <v>0.9</v>
      </c>
    </row>
    <row r="18" spans="1:10" x14ac:dyDescent="0.25">
      <c r="A18" s="38">
        <v>7</v>
      </c>
      <c r="B18" s="4">
        <v>11</v>
      </c>
      <c r="C18" s="48" t="s">
        <v>58</v>
      </c>
      <c r="D18" s="48" t="s">
        <v>23</v>
      </c>
      <c r="E18" s="41" t="s">
        <v>81</v>
      </c>
      <c r="F18" s="40">
        <v>13</v>
      </c>
      <c r="G18" s="40">
        <v>13</v>
      </c>
      <c r="H18" s="40">
        <v>0</v>
      </c>
      <c r="I18" s="40">
        <v>11</v>
      </c>
      <c r="J18" s="10">
        <f t="shared" si="0"/>
        <v>0.84615384615384615</v>
      </c>
    </row>
    <row r="19" spans="1:10" x14ac:dyDescent="0.25">
      <c r="A19" s="38">
        <v>7</v>
      </c>
      <c r="B19" s="4">
        <v>3</v>
      </c>
      <c r="C19" s="48" t="s">
        <v>58</v>
      </c>
      <c r="D19" s="48" t="s">
        <v>19</v>
      </c>
      <c r="E19" s="41" t="s">
        <v>77</v>
      </c>
      <c r="F19" s="40">
        <v>10</v>
      </c>
      <c r="G19" s="40">
        <v>10</v>
      </c>
      <c r="H19" s="40">
        <v>0</v>
      </c>
      <c r="I19" s="40">
        <v>7</v>
      </c>
      <c r="J19" s="10">
        <f t="shared" si="0"/>
        <v>0.7</v>
      </c>
    </row>
    <row r="20" spans="1:10" x14ac:dyDescent="0.25">
      <c r="A20" s="38">
        <v>7</v>
      </c>
      <c r="B20" s="4">
        <v>22</v>
      </c>
      <c r="C20" s="18" t="s">
        <v>15</v>
      </c>
      <c r="D20" s="18" t="s">
        <v>28</v>
      </c>
      <c r="E20" s="13" t="s">
        <v>77</v>
      </c>
      <c r="F20" s="39">
        <v>6</v>
      </c>
      <c r="G20" s="39">
        <v>6</v>
      </c>
      <c r="H20" s="39">
        <v>0</v>
      </c>
      <c r="I20" s="39">
        <v>5</v>
      </c>
      <c r="J20" s="10">
        <f t="shared" si="0"/>
        <v>0.83333333333333337</v>
      </c>
    </row>
    <row r="21" spans="1:10" x14ac:dyDescent="0.25">
      <c r="A21" s="38">
        <v>7</v>
      </c>
      <c r="B21" s="4">
        <v>10</v>
      </c>
      <c r="C21" s="18" t="s">
        <v>15</v>
      </c>
      <c r="D21" s="18" t="s">
        <v>75</v>
      </c>
      <c r="E21" s="13" t="s">
        <v>65</v>
      </c>
      <c r="F21" s="39">
        <v>3</v>
      </c>
      <c r="G21" s="39">
        <v>3</v>
      </c>
      <c r="H21" s="39">
        <v>0</v>
      </c>
      <c r="I21" s="39">
        <v>3</v>
      </c>
      <c r="J21" s="45">
        <f t="shared" si="0"/>
        <v>1</v>
      </c>
    </row>
    <row r="22" spans="1:10" x14ac:dyDescent="0.25">
      <c r="A22" s="38">
        <v>7</v>
      </c>
      <c r="B22" s="4">
        <v>1</v>
      </c>
      <c r="C22" s="48" t="s">
        <v>15</v>
      </c>
      <c r="D22" s="48" t="s">
        <v>16</v>
      </c>
      <c r="E22" s="41" t="s">
        <v>77</v>
      </c>
      <c r="F22" s="40">
        <v>12</v>
      </c>
      <c r="G22" s="40">
        <v>12</v>
      </c>
      <c r="H22" s="40">
        <v>0</v>
      </c>
      <c r="I22" s="40">
        <v>0</v>
      </c>
      <c r="J22" s="10">
        <v>1</v>
      </c>
    </row>
    <row r="23" spans="1:10" x14ac:dyDescent="0.25">
      <c r="A23" s="38">
        <v>7</v>
      </c>
      <c r="B23" s="4">
        <v>11</v>
      </c>
      <c r="C23" s="48" t="s">
        <v>15</v>
      </c>
      <c r="D23" s="48" t="s">
        <v>16</v>
      </c>
      <c r="E23" s="41" t="s">
        <v>83</v>
      </c>
      <c r="F23" s="40">
        <v>8</v>
      </c>
      <c r="G23" s="40">
        <v>8</v>
      </c>
      <c r="H23" s="40">
        <v>0</v>
      </c>
      <c r="I23" s="40">
        <v>6</v>
      </c>
      <c r="J23" s="10">
        <f t="shared" ref="J23:J53" si="1">IFERROR(I23/G23-H23/G23,"")</f>
        <v>0.75</v>
      </c>
    </row>
    <row r="24" spans="1:10" x14ac:dyDescent="0.25">
      <c r="A24" s="38">
        <v>7</v>
      </c>
      <c r="B24" s="4">
        <v>23</v>
      </c>
      <c r="C24" s="18" t="s">
        <v>15</v>
      </c>
      <c r="D24" s="18" t="s">
        <v>16</v>
      </c>
      <c r="E24" s="13" t="s">
        <v>85</v>
      </c>
      <c r="F24" s="39">
        <v>13</v>
      </c>
      <c r="G24" s="39">
        <v>11</v>
      </c>
      <c r="H24" s="39">
        <v>0</v>
      </c>
      <c r="I24" s="39">
        <v>8</v>
      </c>
      <c r="J24" s="10">
        <f t="shared" si="1"/>
        <v>0.72727272727272729</v>
      </c>
    </row>
    <row r="25" spans="1:10" x14ac:dyDescent="0.25">
      <c r="A25" s="38">
        <v>7</v>
      </c>
      <c r="B25" s="4">
        <v>22</v>
      </c>
      <c r="C25" s="48" t="s">
        <v>15</v>
      </c>
      <c r="D25" s="48" t="s">
        <v>35</v>
      </c>
      <c r="E25" s="41" t="s">
        <v>77</v>
      </c>
      <c r="F25" s="40">
        <v>6</v>
      </c>
      <c r="G25" s="40">
        <v>6</v>
      </c>
      <c r="H25" s="40">
        <v>0</v>
      </c>
      <c r="I25" s="40">
        <v>5</v>
      </c>
      <c r="J25" s="10">
        <f t="shared" si="1"/>
        <v>0.83333333333333337</v>
      </c>
    </row>
    <row r="26" spans="1:10" x14ac:dyDescent="0.25">
      <c r="A26" s="38">
        <v>7</v>
      </c>
      <c r="B26" s="4">
        <v>9</v>
      </c>
      <c r="C26" s="48" t="s">
        <v>15</v>
      </c>
      <c r="D26" s="48" t="s">
        <v>27</v>
      </c>
      <c r="E26" s="41" t="s">
        <v>65</v>
      </c>
      <c r="F26" s="40">
        <v>3</v>
      </c>
      <c r="G26" s="40">
        <v>3</v>
      </c>
      <c r="H26" s="40">
        <v>0</v>
      </c>
      <c r="I26" s="40">
        <v>3</v>
      </c>
      <c r="J26" s="45">
        <f t="shared" si="1"/>
        <v>1</v>
      </c>
    </row>
    <row r="27" spans="1:10" x14ac:dyDescent="0.25">
      <c r="A27" s="38">
        <v>7</v>
      </c>
      <c r="B27" s="4">
        <v>16</v>
      </c>
      <c r="C27" s="48" t="s">
        <v>15</v>
      </c>
      <c r="D27" s="48" t="s">
        <v>27</v>
      </c>
      <c r="E27" s="41" t="s">
        <v>70</v>
      </c>
      <c r="F27" s="40">
        <v>9</v>
      </c>
      <c r="G27" s="40">
        <v>9</v>
      </c>
      <c r="H27" s="40">
        <v>0</v>
      </c>
      <c r="I27" s="40">
        <v>9</v>
      </c>
      <c r="J27" s="10">
        <f t="shared" si="1"/>
        <v>1</v>
      </c>
    </row>
    <row r="28" spans="1:10" x14ac:dyDescent="0.25">
      <c r="A28" s="38">
        <v>7</v>
      </c>
      <c r="B28" s="4">
        <v>2</v>
      </c>
      <c r="C28" s="18" t="s">
        <v>25</v>
      </c>
      <c r="D28" s="18" t="s">
        <v>20</v>
      </c>
      <c r="E28" s="13" t="s">
        <v>78</v>
      </c>
      <c r="F28" s="39">
        <v>16</v>
      </c>
      <c r="G28" s="39"/>
      <c r="H28" s="39"/>
      <c r="I28" s="39"/>
      <c r="J28" s="52" t="str">
        <f t="shared" si="1"/>
        <v/>
      </c>
    </row>
    <row r="29" spans="1:10" x14ac:dyDescent="0.25">
      <c r="A29" s="38">
        <v>7</v>
      </c>
      <c r="B29" s="4">
        <v>3</v>
      </c>
      <c r="C29" s="18" t="s">
        <v>25</v>
      </c>
      <c r="D29" s="18" t="s">
        <v>20</v>
      </c>
      <c r="E29" s="13" t="s">
        <v>76</v>
      </c>
      <c r="F29" s="39">
        <v>7</v>
      </c>
      <c r="G29" s="39">
        <v>7</v>
      </c>
      <c r="H29" s="39">
        <v>0</v>
      </c>
      <c r="I29" s="39">
        <v>6</v>
      </c>
      <c r="J29" s="10">
        <f t="shared" si="1"/>
        <v>0.8571428571428571</v>
      </c>
    </row>
    <row r="30" spans="1:10" x14ac:dyDescent="0.25">
      <c r="A30" s="38">
        <v>7</v>
      </c>
      <c r="B30" s="4">
        <v>10</v>
      </c>
      <c r="C30" s="18" t="s">
        <v>25</v>
      </c>
      <c r="D30" s="18" t="s">
        <v>20</v>
      </c>
      <c r="E30" s="13" t="s">
        <v>82</v>
      </c>
      <c r="F30" s="39">
        <v>11</v>
      </c>
      <c r="G30" s="39">
        <v>5</v>
      </c>
      <c r="H30" s="39">
        <v>0</v>
      </c>
      <c r="I30" s="39">
        <v>5</v>
      </c>
      <c r="J30" s="10">
        <f t="shared" si="1"/>
        <v>1</v>
      </c>
    </row>
    <row r="31" spans="1:10" x14ac:dyDescent="0.25">
      <c r="A31" s="38">
        <v>7</v>
      </c>
      <c r="B31" s="4">
        <v>17</v>
      </c>
      <c r="C31" s="18" t="s">
        <v>25</v>
      </c>
      <c r="D31" s="18" t="s">
        <v>84</v>
      </c>
      <c r="E31" s="13" t="s">
        <v>67</v>
      </c>
      <c r="F31" s="39">
        <v>5</v>
      </c>
      <c r="G31" s="39">
        <v>5</v>
      </c>
      <c r="H31" s="39">
        <v>0</v>
      </c>
      <c r="I31" s="39">
        <v>4</v>
      </c>
      <c r="J31" s="42">
        <f t="shared" si="1"/>
        <v>0.8</v>
      </c>
    </row>
    <row r="32" spans="1:10" x14ac:dyDescent="0.25">
      <c r="A32" s="38">
        <v>7</v>
      </c>
      <c r="B32" s="4">
        <v>17</v>
      </c>
      <c r="C32" s="5" t="s">
        <v>25</v>
      </c>
      <c r="D32" s="5" t="s">
        <v>28</v>
      </c>
      <c r="E32" s="41" t="s">
        <v>67</v>
      </c>
      <c r="F32" s="46">
        <v>6</v>
      </c>
      <c r="G32" s="46">
        <v>5</v>
      </c>
      <c r="H32" s="46">
        <v>0</v>
      </c>
      <c r="I32" s="46">
        <v>5</v>
      </c>
      <c r="J32" s="51">
        <f t="shared" si="1"/>
        <v>1</v>
      </c>
    </row>
    <row r="33" spans="1:10" x14ac:dyDescent="0.25">
      <c r="A33" s="38">
        <v>7</v>
      </c>
      <c r="B33" s="4">
        <v>8</v>
      </c>
      <c r="C33" s="48" t="s">
        <v>25</v>
      </c>
      <c r="D33" s="48" t="s">
        <v>22</v>
      </c>
      <c r="E33" s="41" t="s">
        <v>82</v>
      </c>
      <c r="F33" s="40">
        <v>6</v>
      </c>
      <c r="G33" s="40">
        <v>5</v>
      </c>
      <c r="H33" s="40">
        <v>0</v>
      </c>
      <c r="I33" s="40">
        <v>4</v>
      </c>
      <c r="J33" s="10">
        <f t="shared" si="1"/>
        <v>0.8</v>
      </c>
    </row>
    <row r="34" spans="1:10" x14ac:dyDescent="0.25">
      <c r="A34" s="38">
        <v>7</v>
      </c>
      <c r="B34" s="4">
        <v>18</v>
      </c>
      <c r="C34" s="48" t="s">
        <v>25</v>
      </c>
      <c r="D34" s="48" t="s">
        <v>35</v>
      </c>
      <c r="E34" s="40" t="s">
        <v>69</v>
      </c>
      <c r="F34" s="40">
        <v>8</v>
      </c>
      <c r="G34" s="40">
        <v>5</v>
      </c>
      <c r="H34" s="40">
        <v>0</v>
      </c>
      <c r="I34" s="40">
        <v>5</v>
      </c>
      <c r="J34" s="10">
        <f t="shared" si="1"/>
        <v>1</v>
      </c>
    </row>
    <row r="35" spans="1:10" x14ac:dyDescent="0.25">
      <c r="A35" s="38">
        <v>7</v>
      </c>
      <c r="B35" s="4">
        <v>23</v>
      </c>
      <c r="C35" s="48" t="s">
        <v>25</v>
      </c>
      <c r="D35" s="48" t="s">
        <v>35</v>
      </c>
      <c r="E35" s="41" t="s">
        <v>60</v>
      </c>
      <c r="F35" s="40">
        <v>4</v>
      </c>
      <c r="G35" s="40">
        <v>4</v>
      </c>
      <c r="H35" s="40">
        <v>0</v>
      </c>
      <c r="I35" s="40">
        <v>4</v>
      </c>
      <c r="J35" s="10">
        <f t="shared" si="1"/>
        <v>1</v>
      </c>
    </row>
    <row r="36" spans="1:10" x14ac:dyDescent="0.25">
      <c r="A36" s="38">
        <v>7</v>
      </c>
      <c r="B36" s="4">
        <v>8</v>
      </c>
      <c r="C36" s="18" t="s">
        <v>25</v>
      </c>
      <c r="D36" s="18" t="s">
        <v>23</v>
      </c>
      <c r="E36" s="13" t="s">
        <v>82</v>
      </c>
      <c r="F36" s="39">
        <v>6</v>
      </c>
      <c r="G36" s="39">
        <v>5</v>
      </c>
      <c r="H36" s="39">
        <v>0</v>
      </c>
      <c r="I36" s="39">
        <v>5</v>
      </c>
      <c r="J36" s="10">
        <f t="shared" si="1"/>
        <v>1</v>
      </c>
    </row>
    <row r="37" spans="1:10" x14ac:dyDescent="0.25">
      <c r="A37" s="38">
        <v>7</v>
      </c>
      <c r="B37" s="4">
        <v>2</v>
      </c>
      <c r="C37" s="48" t="s">
        <v>25</v>
      </c>
      <c r="D37" s="48" t="s">
        <v>19</v>
      </c>
      <c r="E37" s="41" t="s">
        <v>78</v>
      </c>
      <c r="F37" s="40">
        <v>16</v>
      </c>
      <c r="G37" s="40"/>
      <c r="H37" s="40"/>
      <c r="I37" s="40"/>
      <c r="J37" s="52" t="str">
        <f t="shared" si="1"/>
        <v/>
      </c>
    </row>
    <row r="38" spans="1:10" x14ac:dyDescent="0.25">
      <c r="A38" s="38">
        <v>7</v>
      </c>
      <c r="B38" s="4">
        <v>3</v>
      </c>
      <c r="C38" s="48" t="s">
        <v>25</v>
      </c>
      <c r="D38" s="48" t="s">
        <v>19</v>
      </c>
      <c r="E38" s="41" t="s">
        <v>76</v>
      </c>
      <c r="F38" s="40">
        <v>11</v>
      </c>
      <c r="G38" s="40">
        <v>7</v>
      </c>
      <c r="H38" s="40">
        <v>0</v>
      </c>
      <c r="I38" s="40">
        <v>6</v>
      </c>
      <c r="J38" s="10">
        <f t="shared" si="1"/>
        <v>0.8571428571428571</v>
      </c>
    </row>
    <row r="39" spans="1:10" x14ac:dyDescent="0.25">
      <c r="A39" s="38">
        <v>7</v>
      </c>
      <c r="B39" s="4">
        <v>10</v>
      </c>
      <c r="C39" s="48" t="s">
        <v>25</v>
      </c>
      <c r="D39" s="48" t="s">
        <v>19</v>
      </c>
      <c r="E39" s="41" t="s">
        <v>82</v>
      </c>
      <c r="F39" s="40">
        <v>11</v>
      </c>
      <c r="G39" s="40">
        <v>5</v>
      </c>
      <c r="H39" s="40">
        <v>0</v>
      </c>
      <c r="I39" s="40">
        <v>4</v>
      </c>
      <c r="J39" s="10">
        <f t="shared" si="1"/>
        <v>0.8</v>
      </c>
    </row>
    <row r="40" spans="1:10" x14ac:dyDescent="0.25">
      <c r="A40" s="38">
        <v>7</v>
      </c>
      <c r="B40" s="4">
        <v>18</v>
      </c>
      <c r="C40" s="18" t="s">
        <v>25</v>
      </c>
      <c r="D40" s="18" t="s">
        <v>27</v>
      </c>
      <c r="E40" s="39" t="s">
        <v>69</v>
      </c>
      <c r="F40" s="39">
        <v>8</v>
      </c>
      <c r="G40" s="39">
        <v>6</v>
      </c>
      <c r="H40" s="39">
        <v>0</v>
      </c>
      <c r="I40" s="39">
        <v>5</v>
      </c>
      <c r="J40" s="10">
        <f t="shared" si="1"/>
        <v>0.83333333333333337</v>
      </c>
    </row>
    <row r="41" spans="1:10" x14ac:dyDescent="0.25">
      <c r="A41" s="38">
        <v>7</v>
      </c>
      <c r="B41" s="4">
        <v>23</v>
      </c>
      <c r="C41" s="18" t="s">
        <v>25</v>
      </c>
      <c r="D41" s="18" t="s">
        <v>27</v>
      </c>
      <c r="E41" s="13" t="s">
        <v>60</v>
      </c>
      <c r="F41" s="39">
        <v>4</v>
      </c>
      <c r="G41" s="39">
        <v>4</v>
      </c>
      <c r="H41" s="39">
        <v>0</v>
      </c>
      <c r="I41" s="39">
        <v>3</v>
      </c>
      <c r="J41" s="10">
        <f t="shared" si="1"/>
        <v>0.75</v>
      </c>
    </row>
    <row r="42" spans="1:10" x14ac:dyDescent="0.25">
      <c r="A42" s="38">
        <v>7</v>
      </c>
      <c r="B42" s="4">
        <v>9</v>
      </c>
      <c r="C42" s="18" t="s">
        <v>45</v>
      </c>
      <c r="D42" s="18" t="s">
        <v>20</v>
      </c>
      <c r="E42" s="13" t="s">
        <v>81</v>
      </c>
      <c r="F42" s="39">
        <v>13</v>
      </c>
      <c r="G42" s="39">
        <v>13</v>
      </c>
      <c r="H42" s="39">
        <v>0</v>
      </c>
      <c r="I42" s="39">
        <v>12</v>
      </c>
      <c r="J42" s="10">
        <f t="shared" si="1"/>
        <v>0.92307692307692313</v>
      </c>
    </row>
    <row r="43" spans="1:10" x14ac:dyDescent="0.25">
      <c r="A43" s="38">
        <v>7</v>
      </c>
      <c r="B43" s="4">
        <v>24</v>
      </c>
      <c r="C43" s="48" t="s">
        <v>45</v>
      </c>
      <c r="D43" s="48" t="s">
        <v>84</v>
      </c>
      <c r="E43" s="40" t="s">
        <v>66</v>
      </c>
      <c r="F43" s="40">
        <v>8</v>
      </c>
      <c r="G43" s="40">
        <v>7</v>
      </c>
      <c r="H43" s="40">
        <v>1</v>
      </c>
      <c r="I43" s="40">
        <v>6</v>
      </c>
      <c r="J43" s="10">
        <f t="shared" si="1"/>
        <v>0.71428571428571419</v>
      </c>
    </row>
    <row r="44" spans="1:10" x14ac:dyDescent="0.25">
      <c r="A44" s="38">
        <v>7</v>
      </c>
      <c r="B44" s="4">
        <v>30</v>
      </c>
      <c r="C44" s="48" t="s">
        <v>45</v>
      </c>
      <c r="D44" s="48" t="s">
        <v>22</v>
      </c>
      <c r="E44" s="41" t="s">
        <v>85</v>
      </c>
      <c r="F44" s="40">
        <v>13</v>
      </c>
      <c r="G44" s="40">
        <v>13</v>
      </c>
      <c r="H44" s="40">
        <v>0</v>
      </c>
      <c r="I44" s="40">
        <v>13</v>
      </c>
      <c r="J44" s="10">
        <f t="shared" si="1"/>
        <v>1</v>
      </c>
    </row>
    <row r="45" spans="1:10" x14ac:dyDescent="0.25">
      <c r="A45" s="38">
        <v>7</v>
      </c>
      <c r="B45" s="4">
        <v>2</v>
      </c>
      <c r="C45" s="7" t="s">
        <v>45</v>
      </c>
      <c r="D45" s="7" t="s">
        <v>75</v>
      </c>
      <c r="E45" s="13" t="s">
        <v>80</v>
      </c>
      <c r="F45" s="47">
        <v>8</v>
      </c>
      <c r="G45" s="47">
        <v>8</v>
      </c>
      <c r="H45" s="47">
        <v>0</v>
      </c>
      <c r="I45" s="47">
        <v>7</v>
      </c>
      <c r="J45" s="9">
        <f t="shared" si="1"/>
        <v>0.875</v>
      </c>
    </row>
    <row r="46" spans="1:10" x14ac:dyDescent="0.25">
      <c r="A46" s="38">
        <v>7</v>
      </c>
      <c r="B46" s="4">
        <v>3</v>
      </c>
      <c r="C46" s="48" t="s">
        <v>45</v>
      </c>
      <c r="D46" s="48" t="s">
        <v>75</v>
      </c>
      <c r="E46" s="41" t="s">
        <v>47</v>
      </c>
      <c r="F46" s="40">
        <v>6</v>
      </c>
      <c r="G46" s="40">
        <v>5</v>
      </c>
      <c r="H46" s="40">
        <v>0</v>
      </c>
      <c r="I46" s="40">
        <v>4</v>
      </c>
      <c r="J46" s="45">
        <f t="shared" si="1"/>
        <v>0.8</v>
      </c>
    </row>
    <row r="47" spans="1:10" x14ac:dyDescent="0.25">
      <c r="A47" s="38">
        <v>7</v>
      </c>
      <c r="B47" s="4">
        <v>1</v>
      </c>
      <c r="C47" s="18" t="s">
        <v>45</v>
      </c>
      <c r="D47" s="18" t="s">
        <v>75</v>
      </c>
      <c r="E47" s="13" t="s">
        <v>30</v>
      </c>
      <c r="F47" s="39">
        <v>7</v>
      </c>
      <c r="G47" s="39">
        <v>7</v>
      </c>
      <c r="H47" s="39">
        <v>0</v>
      </c>
      <c r="I47" s="39">
        <v>7</v>
      </c>
      <c r="J47" s="10">
        <f t="shared" si="1"/>
        <v>1</v>
      </c>
    </row>
    <row r="48" spans="1:10" x14ac:dyDescent="0.25">
      <c r="A48" s="38">
        <v>7</v>
      </c>
      <c r="B48" s="4">
        <v>30</v>
      </c>
      <c r="C48" s="18" t="s">
        <v>45</v>
      </c>
      <c r="D48" s="18" t="s">
        <v>23</v>
      </c>
      <c r="E48" s="13" t="s">
        <v>85</v>
      </c>
      <c r="F48" s="39">
        <v>13</v>
      </c>
      <c r="G48" s="39">
        <v>13</v>
      </c>
      <c r="H48" s="39">
        <v>0</v>
      </c>
      <c r="I48" s="39">
        <v>13</v>
      </c>
      <c r="J48" s="10">
        <f t="shared" si="1"/>
        <v>1</v>
      </c>
    </row>
    <row r="49" spans="1:10" x14ac:dyDescent="0.25">
      <c r="A49" s="38">
        <v>7</v>
      </c>
      <c r="B49" s="4">
        <v>9</v>
      </c>
      <c r="C49" s="48" t="s">
        <v>45</v>
      </c>
      <c r="D49" s="48" t="s">
        <v>19</v>
      </c>
      <c r="E49" s="41" t="s">
        <v>81</v>
      </c>
      <c r="F49" s="40">
        <v>13</v>
      </c>
      <c r="G49" s="40">
        <v>13</v>
      </c>
      <c r="H49" s="40">
        <v>0</v>
      </c>
      <c r="I49" s="40">
        <v>10</v>
      </c>
      <c r="J49" s="10">
        <f t="shared" si="1"/>
        <v>0.76923076923076927</v>
      </c>
    </row>
    <row r="50" spans="1:10" x14ac:dyDescent="0.25">
      <c r="A50" s="38">
        <v>7</v>
      </c>
      <c r="B50" s="4">
        <v>8</v>
      </c>
      <c r="C50" s="18" t="s">
        <v>45</v>
      </c>
      <c r="D50" s="18" t="s">
        <v>27</v>
      </c>
      <c r="E50" s="13" t="s">
        <v>66</v>
      </c>
      <c r="F50" s="39">
        <v>11</v>
      </c>
      <c r="G50" s="39">
        <v>11</v>
      </c>
      <c r="H50" s="39">
        <v>3</v>
      </c>
      <c r="I50" s="39">
        <v>5</v>
      </c>
      <c r="J50" s="43">
        <f t="shared" si="1"/>
        <v>0.18181818181818182</v>
      </c>
    </row>
    <row r="51" spans="1:10" x14ac:dyDescent="0.25">
      <c r="A51" s="38">
        <v>7</v>
      </c>
      <c r="B51" s="4">
        <v>17</v>
      </c>
      <c r="C51" s="18" t="s">
        <v>45</v>
      </c>
      <c r="D51" s="18" t="s">
        <v>27</v>
      </c>
      <c r="E51" s="13" t="s">
        <v>77</v>
      </c>
      <c r="F51" s="39">
        <v>7</v>
      </c>
      <c r="G51" s="39">
        <v>7</v>
      </c>
      <c r="H51" s="39">
        <v>1</v>
      </c>
      <c r="I51" s="39">
        <v>5</v>
      </c>
      <c r="J51" s="43">
        <f t="shared" si="1"/>
        <v>0.5714285714285714</v>
      </c>
    </row>
    <row r="52" spans="1:10" x14ac:dyDescent="0.25">
      <c r="A52" s="38">
        <v>7</v>
      </c>
      <c r="B52" s="4">
        <v>18</v>
      </c>
      <c r="C52" s="48" t="s">
        <v>63</v>
      </c>
      <c r="D52" s="48" t="s">
        <v>75</v>
      </c>
      <c r="E52" s="41" t="s">
        <v>68</v>
      </c>
      <c r="F52" s="40">
        <v>7</v>
      </c>
      <c r="G52" s="40">
        <v>7</v>
      </c>
      <c r="H52" s="40">
        <v>0</v>
      </c>
      <c r="I52" s="40">
        <v>6</v>
      </c>
      <c r="J52" s="10">
        <f t="shared" si="1"/>
        <v>0.8571428571428571</v>
      </c>
    </row>
    <row r="53" spans="1:10" x14ac:dyDescent="0.25">
      <c r="A53" s="38">
        <v>7</v>
      </c>
      <c r="B53" s="4">
        <v>2</v>
      </c>
      <c r="C53" s="48" t="s">
        <v>63</v>
      </c>
      <c r="D53" s="48" t="s">
        <v>27</v>
      </c>
      <c r="E53" s="40" t="s">
        <v>79</v>
      </c>
      <c r="F53" s="40">
        <v>6</v>
      </c>
      <c r="G53" s="40">
        <v>6</v>
      </c>
      <c r="H53" s="40">
        <v>0</v>
      </c>
      <c r="I53" s="40">
        <v>5</v>
      </c>
      <c r="J53" s="10">
        <f t="shared" si="1"/>
        <v>0.83333333333333337</v>
      </c>
    </row>
  </sheetData>
  <sortState xmlns:xlrd2="http://schemas.microsoft.com/office/spreadsheetml/2017/richdata2" ref="A2:J53">
    <sortCondition ref="C1:C53"/>
  </sortState>
  <dataValidations count="1">
    <dataValidation type="list" allowBlank="1" showInputMessage="1" showErrorMessage="1" sqref="D1:D53" xr:uid="{06AA5A8F-728B-4CA7-814C-CE90D233EA65}">
      <formula1>"ФОП,ФПП,РПУ, ПА, ОБП, 5С, Картирование, ДЦ, ЭИЦ, СР, ОЕЕ, SMED, АО, Мет.реш.проблем"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3DCEE-F64B-4232-BC39-CCEE53B21BF4}">
  <dimension ref="A1:J50"/>
  <sheetViews>
    <sheetView topLeftCell="A19" workbookViewId="0">
      <selection activeCell="L49" sqref="L49"/>
    </sheetView>
  </sheetViews>
  <sheetFormatPr defaultRowHeight="15" x14ac:dyDescent="0.25"/>
  <cols>
    <col min="3" max="3" width="36.42578125" customWidth="1"/>
    <col min="4" max="4" width="18.85546875" customWidth="1"/>
    <col min="5" max="5" width="26.7109375" customWidth="1"/>
  </cols>
  <sheetData>
    <row r="1" spans="1:10" x14ac:dyDescent="0.25">
      <c r="A1" s="65">
        <v>8</v>
      </c>
      <c r="B1" s="4">
        <v>1</v>
      </c>
      <c r="C1" s="48" t="s">
        <v>18</v>
      </c>
      <c r="D1" s="48" t="s">
        <v>16</v>
      </c>
      <c r="E1" s="41" t="s">
        <v>86</v>
      </c>
      <c r="F1" s="40">
        <v>11</v>
      </c>
      <c r="G1" s="40">
        <v>11</v>
      </c>
      <c r="H1" s="40">
        <v>1</v>
      </c>
      <c r="I1" s="40">
        <v>10</v>
      </c>
      <c r="J1" s="10">
        <f t="shared" ref="J1" si="0">IFERROR(I1/G1-H1/G1,"")</f>
        <v>0.81818181818181812</v>
      </c>
    </row>
    <row r="2" spans="1:10" x14ac:dyDescent="0.25">
      <c r="A2" s="65">
        <v>8</v>
      </c>
      <c r="B2" s="4">
        <v>5</v>
      </c>
      <c r="C2" s="48" t="s">
        <v>18</v>
      </c>
      <c r="D2" s="48" t="s">
        <v>20</v>
      </c>
      <c r="E2" s="41" t="s">
        <v>86</v>
      </c>
      <c r="F2" s="40">
        <v>13</v>
      </c>
      <c r="G2" s="40">
        <v>11</v>
      </c>
      <c r="H2" s="40">
        <v>0</v>
      </c>
      <c r="I2" s="40">
        <v>9</v>
      </c>
      <c r="J2" s="10">
        <f t="shared" ref="J2:J33" si="1">IFERROR(I2/G2-H2/G2,"")</f>
        <v>0.81818181818181823</v>
      </c>
    </row>
    <row r="3" spans="1:10" x14ac:dyDescent="0.25">
      <c r="A3" s="65">
        <v>8</v>
      </c>
      <c r="B3" s="4">
        <v>26</v>
      </c>
      <c r="C3" s="18" t="s">
        <v>18</v>
      </c>
      <c r="D3" s="18" t="s">
        <v>20</v>
      </c>
      <c r="E3" s="39" t="s">
        <v>94</v>
      </c>
      <c r="F3" s="39">
        <v>12</v>
      </c>
      <c r="G3" s="39">
        <v>10</v>
      </c>
      <c r="H3" s="39">
        <v>0</v>
      </c>
      <c r="I3" s="39">
        <v>10</v>
      </c>
      <c r="J3" s="10">
        <f t="shared" si="1"/>
        <v>1</v>
      </c>
    </row>
    <row r="4" spans="1:10" x14ac:dyDescent="0.25">
      <c r="A4" s="65">
        <v>8</v>
      </c>
      <c r="B4" s="4">
        <v>13</v>
      </c>
      <c r="C4" s="18" t="s">
        <v>18</v>
      </c>
      <c r="D4" s="18" t="s">
        <v>22</v>
      </c>
      <c r="E4" s="13" t="s">
        <v>86</v>
      </c>
      <c r="F4" s="39">
        <v>12</v>
      </c>
      <c r="G4" s="39">
        <v>10</v>
      </c>
      <c r="H4" s="39">
        <v>0</v>
      </c>
      <c r="I4" s="39">
        <v>9</v>
      </c>
      <c r="J4" s="10">
        <f t="shared" si="1"/>
        <v>0.9</v>
      </c>
    </row>
    <row r="5" spans="1:10" x14ac:dyDescent="0.25">
      <c r="A5" s="65">
        <v>8</v>
      </c>
      <c r="B5" s="4">
        <v>19</v>
      </c>
      <c r="C5" s="18" t="s">
        <v>18</v>
      </c>
      <c r="D5" s="18" t="s">
        <v>16</v>
      </c>
      <c r="E5" s="39" t="s">
        <v>94</v>
      </c>
      <c r="F5" s="39">
        <v>13</v>
      </c>
      <c r="G5" s="39">
        <v>13</v>
      </c>
      <c r="H5" s="39">
        <v>0</v>
      </c>
      <c r="I5" s="39">
        <v>10</v>
      </c>
      <c r="J5" s="10">
        <f t="shared" si="1"/>
        <v>0.76923076923076927</v>
      </c>
    </row>
    <row r="6" spans="1:10" x14ac:dyDescent="0.25">
      <c r="A6" s="65">
        <v>8</v>
      </c>
      <c r="B6" s="4">
        <v>27</v>
      </c>
      <c r="C6" s="48" t="s">
        <v>18</v>
      </c>
      <c r="D6" s="48" t="s">
        <v>16</v>
      </c>
      <c r="E6" s="41" t="s">
        <v>95</v>
      </c>
      <c r="F6" s="40">
        <v>11</v>
      </c>
      <c r="G6" s="40">
        <v>10</v>
      </c>
      <c r="H6" s="40">
        <v>0</v>
      </c>
      <c r="I6" s="40">
        <v>8</v>
      </c>
      <c r="J6" s="10">
        <f t="shared" si="1"/>
        <v>0.8</v>
      </c>
    </row>
    <row r="7" spans="1:10" x14ac:dyDescent="0.25">
      <c r="A7" s="65">
        <v>8</v>
      </c>
      <c r="B7" s="4">
        <v>13</v>
      </c>
      <c r="C7" s="48" t="s">
        <v>18</v>
      </c>
      <c r="D7" s="48" t="s">
        <v>23</v>
      </c>
      <c r="E7" s="41" t="s">
        <v>86</v>
      </c>
      <c r="F7" s="40">
        <v>12</v>
      </c>
      <c r="G7" s="40">
        <v>10</v>
      </c>
      <c r="H7" s="40">
        <v>0</v>
      </c>
      <c r="I7" s="40">
        <v>8</v>
      </c>
      <c r="J7" s="10">
        <f t="shared" si="1"/>
        <v>0.8</v>
      </c>
    </row>
    <row r="8" spans="1:10" x14ac:dyDescent="0.25">
      <c r="A8" s="65">
        <v>8</v>
      </c>
      <c r="B8" s="4">
        <v>5</v>
      </c>
      <c r="C8" s="18" t="s">
        <v>18</v>
      </c>
      <c r="D8" s="18" t="s">
        <v>19</v>
      </c>
      <c r="E8" s="13" t="s">
        <v>86</v>
      </c>
      <c r="F8" s="39">
        <v>13</v>
      </c>
      <c r="G8" s="39">
        <v>11</v>
      </c>
      <c r="H8" s="39">
        <v>0</v>
      </c>
      <c r="I8" s="39">
        <v>9</v>
      </c>
      <c r="J8" s="10">
        <f t="shared" si="1"/>
        <v>0.81818181818181823</v>
      </c>
    </row>
    <row r="9" spans="1:10" x14ac:dyDescent="0.25">
      <c r="A9" s="65">
        <v>8</v>
      </c>
      <c r="B9" s="4">
        <v>26</v>
      </c>
      <c r="C9" s="48" t="s">
        <v>18</v>
      </c>
      <c r="D9" s="48" t="s">
        <v>19</v>
      </c>
      <c r="E9" s="40" t="s">
        <v>94</v>
      </c>
      <c r="F9" s="40">
        <v>12</v>
      </c>
      <c r="G9" s="40">
        <v>10</v>
      </c>
      <c r="H9" s="40">
        <v>0</v>
      </c>
      <c r="I9" s="40">
        <v>8</v>
      </c>
      <c r="J9" s="10">
        <f t="shared" si="1"/>
        <v>0.8</v>
      </c>
    </row>
    <row r="10" spans="1:10" x14ac:dyDescent="0.25">
      <c r="A10" s="65">
        <v>8</v>
      </c>
      <c r="B10" s="4">
        <v>14</v>
      </c>
      <c r="C10" s="48" t="s">
        <v>18</v>
      </c>
      <c r="D10" s="48" t="s">
        <v>27</v>
      </c>
      <c r="E10" s="41" t="s">
        <v>81</v>
      </c>
      <c r="F10" s="40">
        <v>7</v>
      </c>
      <c r="G10" s="40">
        <v>7</v>
      </c>
      <c r="H10" s="40">
        <v>0</v>
      </c>
      <c r="I10" s="40">
        <v>6</v>
      </c>
      <c r="J10" s="10">
        <f t="shared" si="1"/>
        <v>0.8571428571428571</v>
      </c>
    </row>
    <row r="11" spans="1:10" x14ac:dyDescent="0.25">
      <c r="A11" s="65">
        <v>8</v>
      </c>
      <c r="B11" s="4">
        <v>4</v>
      </c>
      <c r="C11" s="18" t="s">
        <v>58</v>
      </c>
      <c r="D11" s="18" t="s">
        <v>20</v>
      </c>
      <c r="E11" s="13" t="s">
        <v>87</v>
      </c>
      <c r="F11" s="39">
        <v>10</v>
      </c>
      <c r="G11" s="39">
        <v>7</v>
      </c>
      <c r="H11" s="39">
        <v>0</v>
      </c>
      <c r="I11" s="39">
        <v>5</v>
      </c>
      <c r="J11" s="10">
        <f t="shared" si="1"/>
        <v>0.7142857142857143</v>
      </c>
    </row>
    <row r="12" spans="1:10" x14ac:dyDescent="0.25">
      <c r="A12" s="65">
        <v>8</v>
      </c>
      <c r="B12" s="4">
        <v>5</v>
      </c>
      <c r="C12" s="48" t="s">
        <v>58</v>
      </c>
      <c r="D12" s="48" t="s">
        <v>22</v>
      </c>
      <c r="E12" s="41" t="s">
        <v>87</v>
      </c>
      <c r="F12" s="40">
        <v>10</v>
      </c>
      <c r="G12" s="40">
        <v>10</v>
      </c>
      <c r="H12" s="40">
        <v>0</v>
      </c>
      <c r="I12" s="40">
        <v>8</v>
      </c>
      <c r="J12" s="10">
        <f t="shared" si="1"/>
        <v>0.8</v>
      </c>
    </row>
    <row r="13" spans="1:10" x14ac:dyDescent="0.25">
      <c r="A13" s="65">
        <v>8</v>
      </c>
      <c r="B13" s="4">
        <v>1</v>
      </c>
      <c r="C13" s="18" t="s">
        <v>58</v>
      </c>
      <c r="D13" s="18" t="s">
        <v>16</v>
      </c>
      <c r="E13" s="13" t="s">
        <v>87</v>
      </c>
      <c r="F13" s="39">
        <v>8</v>
      </c>
      <c r="G13" s="39">
        <v>8</v>
      </c>
      <c r="H13" s="39">
        <v>0</v>
      </c>
      <c r="I13" s="39">
        <v>6</v>
      </c>
      <c r="J13" s="10">
        <f t="shared" si="1"/>
        <v>0.75</v>
      </c>
    </row>
    <row r="14" spans="1:10" x14ac:dyDescent="0.25">
      <c r="A14" s="65">
        <v>8</v>
      </c>
      <c r="B14" s="4">
        <v>5</v>
      </c>
      <c r="C14" s="18" t="s">
        <v>58</v>
      </c>
      <c r="D14" s="18" t="s">
        <v>23</v>
      </c>
      <c r="E14" s="13" t="s">
        <v>87</v>
      </c>
      <c r="F14" s="39">
        <v>10</v>
      </c>
      <c r="G14" s="39">
        <v>8</v>
      </c>
      <c r="H14" s="39">
        <v>0</v>
      </c>
      <c r="I14" s="39">
        <v>6</v>
      </c>
      <c r="J14" s="10">
        <f t="shared" si="1"/>
        <v>0.75</v>
      </c>
    </row>
    <row r="15" spans="1:10" x14ac:dyDescent="0.25">
      <c r="A15" s="65">
        <v>8</v>
      </c>
      <c r="B15" s="4">
        <v>4</v>
      </c>
      <c r="C15" s="48" t="s">
        <v>58</v>
      </c>
      <c r="D15" s="48" t="s">
        <v>19</v>
      </c>
      <c r="E15" s="41" t="s">
        <v>87</v>
      </c>
      <c r="F15" s="40">
        <v>10</v>
      </c>
      <c r="G15" s="40">
        <v>7</v>
      </c>
      <c r="H15" s="40">
        <v>0</v>
      </c>
      <c r="I15" s="40">
        <v>6</v>
      </c>
      <c r="J15" s="10">
        <f t="shared" si="1"/>
        <v>0.8571428571428571</v>
      </c>
    </row>
    <row r="16" spans="1:10" x14ac:dyDescent="0.25">
      <c r="A16" s="65">
        <v>8</v>
      </c>
      <c r="B16" s="4">
        <v>7</v>
      </c>
      <c r="C16" s="18" t="s">
        <v>58</v>
      </c>
      <c r="D16" s="18" t="s">
        <v>27</v>
      </c>
      <c r="E16" s="13" t="s">
        <v>67</v>
      </c>
      <c r="F16" s="39">
        <v>7</v>
      </c>
      <c r="G16" s="39">
        <v>5</v>
      </c>
      <c r="H16" s="39">
        <v>0</v>
      </c>
      <c r="I16" s="39">
        <v>5</v>
      </c>
      <c r="J16" s="10">
        <f t="shared" si="1"/>
        <v>1</v>
      </c>
    </row>
    <row r="17" spans="1:10" x14ac:dyDescent="0.25">
      <c r="A17" s="65">
        <v>8</v>
      </c>
      <c r="B17" s="4">
        <v>7</v>
      </c>
      <c r="C17" s="18" t="s">
        <v>90</v>
      </c>
      <c r="D17" s="18" t="s">
        <v>20</v>
      </c>
      <c r="E17" s="13" t="s">
        <v>89</v>
      </c>
      <c r="F17" s="39">
        <v>13</v>
      </c>
      <c r="G17" s="39">
        <v>10</v>
      </c>
      <c r="H17" s="39">
        <v>0</v>
      </c>
      <c r="I17" s="39">
        <v>10</v>
      </c>
      <c r="J17" s="10">
        <f t="shared" si="1"/>
        <v>1</v>
      </c>
    </row>
    <row r="18" spans="1:10" x14ac:dyDescent="0.25">
      <c r="A18" s="65">
        <v>8</v>
      </c>
      <c r="B18" s="4">
        <v>7</v>
      </c>
      <c r="C18" s="48" t="s">
        <v>90</v>
      </c>
      <c r="D18" s="48" t="s">
        <v>19</v>
      </c>
      <c r="E18" s="41" t="s">
        <v>89</v>
      </c>
      <c r="F18" s="40">
        <v>13</v>
      </c>
      <c r="G18" s="40">
        <v>13</v>
      </c>
      <c r="H18" s="40">
        <v>0</v>
      </c>
      <c r="I18" s="40">
        <v>12</v>
      </c>
      <c r="J18" s="10">
        <f t="shared" si="1"/>
        <v>0.92307692307692313</v>
      </c>
    </row>
    <row r="19" spans="1:10" x14ac:dyDescent="0.25">
      <c r="A19" s="65">
        <v>8</v>
      </c>
      <c r="B19" s="4">
        <v>27</v>
      </c>
      <c r="C19" s="48" t="s">
        <v>15</v>
      </c>
      <c r="D19" s="48" t="s">
        <v>16</v>
      </c>
      <c r="E19" s="41" t="s">
        <v>93</v>
      </c>
      <c r="F19" s="40">
        <v>10</v>
      </c>
      <c r="G19" s="40">
        <v>10</v>
      </c>
      <c r="H19" s="40">
        <v>0</v>
      </c>
      <c r="I19" s="40">
        <v>7</v>
      </c>
      <c r="J19" s="10">
        <f t="shared" si="1"/>
        <v>0.7</v>
      </c>
    </row>
    <row r="20" spans="1:10" x14ac:dyDescent="0.25">
      <c r="A20" s="65">
        <v>8</v>
      </c>
      <c r="B20" s="4">
        <v>26</v>
      </c>
      <c r="C20" s="18" t="s">
        <v>15</v>
      </c>
      <c r="D20" s="18" t="s">
        <v>27</v>
      </c>
      <c r="E20" s="13" t="s">
        <v>73</v>
      </c>
      <c r="F20" s="39">
        <v>9</v>
      </c>
      <c r="G20" s="39">
        <v>9</v>
      </c>
      <c r="H20" s="39">
        <v>0</v>
      </c>
      <c r="I20" s="39">
        <v>7</v>
      </c>
      <c r="J20" s="10">
        <f t="shared" si="1"/>
        <v>0.77777777777777779</v>
      </c>
    </row>
    <row r="21" spans="1:10" x14ac:dyDescent="0.25">
      <c r="A21" s="65">
        <v>8</v>
      </c>
      <c r="B21" s="4">
        <v>28</v>
      </c>
      <c r="C21" s="18" t="s">
        <v>25</v>
      </c>
      <c r="D21" s="18" t="s">
        <v>20</v>
      </c>
      <c r="E21" s="39" t="s">
        <v>96</v>
      </c>
      <c r="F21" s="39">
        <v>7</v>
      </c>
      <c r="G21" s="39">
        <v>6</v>
      </c>
      <c r="H21" s="39">
        <v>0</v>
      </c>
      <c r="I21" s="39">
        <v>5</v>
      </c>
      <c r="J21" s="10">
        <f t="shared" si="1"/>
        <v>0.83333333333333337</v>
      </c>
    </row>
    <row r="22" spans="1:10" x14ac:dyDescent="0.25">
      <c r="A22" s="65">
        <v>8</v>
      </c>
      <c r="B22" s="4">
        <v>1</v>
      </c>
      <c r="C22" s="48" t="s">
        <v>25</v>
      </c>
      <c r="D22" s="48" t="s">
        <v>16</v>
      </c>
      <c r="E22" s="41" t="s">
        <v>88</v>
      </c>
      <c r="F22" s="40">
        <v>10</v>
      </c>
      <c r="G22" s="40">
        <v>8</v>
      </c>
      <c r="H22" s="40">
        <v>0</v>
      </c>
      <c r="I22" s="40">
        <v>7</v>
      </c>
      <c r="J22" s="10">
        <f t="shared" si="1"/>
        <v>0.875</v>
      </c>
    </row>
    <row r="23" spans="1:10" x14ac:dyDescent="0.25">
      <c r="A23" s="65">
        <v>8</v>
      </c>
      <c r="B23" s="4">
        <v>21</v>
      </c>
      <c r="C23" s="7" t="s">
        <v>25</v>
      </c>
      <c r="D23" s="7" t="s">
        <v>16</v>
      </c>
      <c r="E23" s="47" t="s">
        <v>96</v>
      </c>
      <c r="F23" s="47">
        <v>8</v>
      </c>
      <c r="G23" s="47">
        <v>7</v>
      </c>
      <c r="H23" s="47">
        <v>1</v>
      </c>
      <c r="I23" s="47">
        <v>6</v>
      </c>
      <c r="J23" s="9">
        <f t="shared" si="1"/>
        <v>0.71428571428571419</v>
      </c>
    </row>
    <row r="24" spans="1:10" x14ac:dyDescent="0.25">
      <c r="A24" s="65">
        <v>8</v>
      </c>
      <c r="B24" s="4">
        <v>28</v>
      </c>
      <c r="C24" s="48" t="s">
        <v>25</v>
      </c>
      <c r="D24" s="48" t="s">
        <v>19</v>
      </c>
      <c r="E24" s="40" t="s">
        <v>96</v>
      </c>
      <c r="F24" s="40">
        <v>8</v>
      </c>
      <c r="G24" s="40">
        <v>7</v>
      </c>
      <c r="H24" s="40">
        <v>0</v>
      </c>
      <c r="I24" s="40">
        <v>5</v>
      </c>
      <c r="J24" s="10">
        <f t="shared" si="1"/>
        <v>0.7142857142857143</v>
      </c>
    </row>
    <row r="25" spans="1:10" x14ac:dyDescent="0.25">
      <c r="A25" s="65">
        <v>8</v>
      </c>
      <c r="B25" s="4">
        <v>22</v>
      </c>
      <c r="C25" s="18" t="s">
        <v>45</v>
      </c>
      <c r="D25" s="18" t="s">
        <v>20</v>
      </c>
      <c r="E25" s="13" t="s">
        <v>92</v>
      </c>
      <c r="F25" s="39">
        <v>11</v>
      </c>
      <c r="G25" s="39">
        <v>8</v>
      </c>
      <c r="H25" s="39">
        <v>0</v>
      </c>
      <c r="I25" s="39">
        <v>6</v>
      </c>
      <c r="J25" s="10">
        <f t="shared" si="1"/>
        <v>0.75</v>
      </c>
    </row>
    <row r="26" spans="1:10" x14ac:dyDescent="0.25">
      <c r="A26" s="65">
        <v>8</v>
      </c>
      <c r="B26" s="4">
        <v>6</v>
      </c>
      <c r="C26" s="48" t="s">
        <v>45</v>
      </c>
      <c r="D26" s="48" t="s">
        <v>22</v>
      </c>
      <c r="E26" s="41" t="s">
        <v>89</v>
      </c>
      <c r="F26" s="40">
        <v>12</v>
      </c>
      <c r="G26" s="40">
        <v>12</v>
      </c>
      <c r="H26" s="40">
        <v>1</v>
      </c>
      <c r="I26" s="40">
        <v>10</v>
      </c>
      <c r="J26" s="10">
        <f t="shared" si="1"/>
        <v>0.75</v>
      </c>
    </row>
    <row r="27" spans="1:10" x14ac:dyDescent="0.25">
      <c r="A27" s="65">
        <v>8</v>
      </c>
      <c r="B27" s="4">
        <v>27</v>
      </c>
      <c r="C27" s="48" t="s">
        <v>45</v>
      </c>
      <c r="D27" s="48" t="s">
        <v>22</v>
      </c>
      <c r="E27" s="41" t="s">
        <v>92</v>
      </c>
      <c r="F27" s="40">
        <v>8</v>
      </c>
      <c r="G27" s="40">
        <v>6</v>
      </c>
      <c r="H27" s="40">
        <v>0</v>
      </c>
      <c r="I27" s="40">
        <v>5</v>
      </c>
      <c r="J27" s="10">
        <f t="shared" si="1"/>
        <v>0.83333333333333337</v>
      </c>
    </row>
    <row r="28" spans="1:10" x14ac:dyDescent="0.25">
      <c r="A28" s="65">
        <v>8</v>
      </c>
      <c r="B28" s="4">
        <v>4</v>
      </c>
      <c r="C28" s="48" t="s">
        <v>45</v>
      </c>
      <c r="D28" s="48" t="s">
        <v>22</v>
      </c>
      <c r="E28" s="41" t="s">
        <v>76</v>
      </c>
      <c r="F28" s="40">
        <v>7</v>
      </c>
      <c r="G28" s="40">
        <v>6</v>
      </c>
      <c r="H28" s="40">
        <v>0</v>
      </c>
      <c r="I28" s="40">
        <v>6</v>
      </c>
      <c r="J28" s="10">
        <f t="shared" si="1"/>
        <v>1</v>
      </c>
    </row>
    <row r="29" spans="1:10" x14ac:dyDescent="0.25">
      <c r="A29" s="65">
        <v>8</v>
      </c>
      <c r="B29" s="4">
        <v>5</v>
      </c>
      <c r="C29" s="48" t="s">
        <v>45</v>
      </c>
      <c r="D29" s="48" t="s">
        <v>75</v>
      </c>
      <c r="E29" s="41" t="s">
        <v>74</v>
      </c>
      <c r="F29" s="40">
        <v>9</v>
      </c>
      <c r="G29" s="40">
        <v>9</v>
      </c>
      <c r="H29" s="40">
        <v>0</v>
      </c>
      <c r="I29" s="40">
        <v>8</v>
      </c>
      <c r="J29" s="10">
        <f t="shared" si="1"/>
        <v>0.88888888888888884</v>
      </c>
    </row>
    <row r="30" spans="1:10" x14ac:dyDescent="0.25">
      <c r="A30" s="65">
        <v>8</v>
      </c>
      <c r="B30" s="4">
        <v>7</v>
      </c>
      <c r="C30" s="48" t="s">
        <v>45</v>
      </c>
      <c r="D30" s="48" t="s">
        <v>75</v>
      </c>
      <c r="E30" s="41" t="s">
        <v>66</v>
      </c>
      <c r="F30" s="40">
        <v>10</v>
      </c>
      <c r="G30" s="40">
        <v>10</v>
      </c>
      <c r="H30" s="40">
        <v>1</v>
      </c>
      <c r="I30" s="40">
        <v>8</v>
      </c>
      <c r="J30" s="10">
        <f t="shared" si="1"/>
        <v>0.70000000000000007</v>
      </c>
    </row>
    <row r="31" spans="1:10" x14ac:dyDescent="0.25">
      <c r="A31" s="65">
        <v>8</v>
      </c>
      <c r="B31" s="4">
        <v>14</v>
      </c>
      <c r="C31" s="18" t="s">
        <v>45</v>
      </c>
      <c r="D31" s="18" t="s">
        <v>75</v>
      </c>
      <c r="E31" s="13" t="s">
        <v>83</v>
      </c>
      <c r="F31" s="39">
        <v>7</v>
      </c>
      <c r="G31" s="39">
        <v>7</v>
      </c>
      <c r="H31" s="39">
        <v>0</v>
      </c>
      <c r="I31" s="39">
        <v>5</v>
      </c>
      <c r="J31" s="10">
        <f t="shared" si="1"/>
        <v>0.7142857142857143</v>
      </c>
    </row>
    <row r="32" spans="1:10" x14ac:dyDescent="0.25">
      <c r="A32" s="65">
        <v>8</v>
      </c>
      <c r="B32" s="4">
        <v>12</v>
      </c>
      <c r="C32" s="18" t="s">
        <v>45</v>
      </c>
      <c r="D32" s="18" t="s">
        <v>75</v>
      </c>
      <c r="E32" s="13" t="s">
        <v>73</v>
      </c>
      <c r="F32" s="39">
        <v>8</v>
      </c>
      <c r="G32" s="39">
        <v>8</v>
      </c>
      <c r="H32" s="39">
        <v>0</v>
      </c>
      <c r="I32" s="39">
        <v>7</v>
      </c>
      <c r="J32" s="10">
        <f t="shared" si="1"/>
        <v>0.875</v>
      </c>
    </row>
    <row r="33" spans="1:10" x14ac:dyDescent="0.25">
      <c r="A33" s="65">
        <v>8</v>
      </c>
      <c r="B33" s="4">
        <v>26</v>
      </c>
      <c r="C33" s="48" t="s">
        <v>45</v>
      </c>
      <c r="D33" s="48" t="s">
        <v>75</v>
      </c>
      <c r="E33" s="40" t="s">
        <v>71</v>
      </c>
      <c r="F33" s="40">
        <v>8</v>
      </c>
      <c r="G33" s="40">
        <v>7</v>
      </c>
      <c r="H33" s="40">
        <v>0</v>
      </c>
      <c r="I33" s="40">
        <v>5</v>
      </c>
      <c r="J33" s="10">
        <f t="shared" si="1"/>
        <v>0.7142857142857143</v>
      </c>
    </row>
    <row r="34" spans="1:10" x14ac:dyDescent="0.25">
      <c r="A34" s="65">
        <v>8</v>
      </c>
      <c r="B34" s="4">
        <v>1</v>
      </c>
      <c r="C34" s="18" t="s">
        <v>45</v>
      </c>
      <c r="D34" s="18" t="s">
        <v>16</v>
      </c>
      <c r="E34" s="13" t="s">
        <v>89</v>
      </c>
      <c r="F34" s="39">
        <v>14</v>
      </c>
      <c r="G34" s="39">
        <v>13</v>
      </c>
      <c r="H34" s="39">
        <v>0</v>
      </c>
      <c r="I34" s="39">
        <v>13</v>
      </c>
      <c r="J34" s="10">
        <f t="shared" ref="J34:J50" si="2">IFERROR(I34/G34-H34/G34,"")</f>
        <v>1</v>
      </c>
    </row>
    <row r="35" spans="1:10" x14ac:dyDescent="0.25">
      <c r="A35" s="65">
        <v>8</v>
      </c>
      <c r="B35" s="4">
        <v>19</v>
      </c>
      <c r="C35" s="18" t="s">
        <v>45</v>
      </c>
      <c r="D35" s="18" t="s">
        <v>16</v>
      </c>
      <c r="E35" s="13" t="s">
        <v>92</v>
      </c>
      <c r="F35" s="39">
        <v>10</v>
      </c>
      <c r="G35" s="39">
        <v>8</v>
      </c>
      <c r="H35" s="39">
        <v>0</v>
      </c>
      <c r="I35" s="39">
        <v>6</v>
      </c>
      <c r="J35" s="10">
        <f t="shared" si="2"/>
        <v>0.75</v>
      </c>
    </row>
    <row r="36" spans="1:10" x14ac:dyDescent="0.25">
      <c r="A36" s="65">
        <v>8</v>
      </c>
      <c r="B36" s="4">
        <v>6</v>
      </c>
      <c r="C36" s="18" t="s">
        <v>45</v>
      </c>
      <c r="D36" s="18" t="s">
        <v>23</v>
      </c>
      <c r="E36" s="13" t="s">
        <v>89</v>
      </c>
      <c r="F36" s="39">
        <v>12</v>
      </c>
      <c r="G36" s="39">
        <v>11</v>
      </c>
      <c r="H36" s="39">
        <v>1</v>
      </c>
      <c r="I36" s="39">
        <v>9</v>
      </c>
      <c r="J36" s="10">
        <f t="shared" si="2"/>
        <v>0.72727272727272729</v>
      </c>
    </row>
    <row r="37" spans="1:10" x14ac:dyDescent="0.25">
      <c r="A37" s="65">
        <v>8</v>
      </c>
      <c r="B37" s="4">
        <v>27</v>
      </c>
      <c r="C37" s="18" t="s">
        <v>45</v>
      </c>
      <c r="D37" s="18" t="s">
        <v>23</v>
      </c>
      <c r="E37" s="13" t="s">
        <v>92</v>
      </c>
      <c r="F37" s="39">
        <v>7</v>
      </c>
      <c r="G37" s="39">
        <v>6</v>
      </c>
      <c r="H37" s="39">
        <v>0</v>
      </c>
      <c r="I37" s="39">
        <v>5</v>
      </c>
      <c r="J37" s="10">
        <f t="shared" si="2"/>
        <v>0.83333333333333337</v>
      </c>
    </row>
    <row r="38" spans="1:10" x14ac:dyDescent="0.25">
      <c r="A38" s="65">
        <v>8</v>
      </c>
      <c r="B38" s="4">
        <v>4</v>
      </c>
      <c r="C38" s="18" t="s">
        <v>45</v>
      </c>
      <c r="D38" s="18" t="s">
        <v>23</v>
      </c>
      <c r="E38" s="13" t="s">
        <v>76</v>
      </c>
      <c r="F38" s="39">
        <v>7</v>
      </c>
      <c r="G38" s="39">
        <v>6</v>
      </c>
      <c r="H38" s="39">
        <v>0</v>
      </c>
      <c r="I38" s="39">
        <v>6</v>
      </c>
      <c r="J38" s="10">
        <f t="shared" si="2"/>
        <v>1</v>
      </c>
    </row>
    <row r="39" spans="1:10" x14ac:dyDescent="0.25">
      <c r="A39" s="65">
        <v>8</v>
      </c>
      <c r="B39" s="4">
        <v>22</v>
      </c>
      <c r="C39" s="48" t="s">
        <v>45</v>
      </c>
      <c r="D39" s="48" t="s">
        <v>19</v>
      </c>
      <c r="E39" s="41" t="s">
        <v>92</v>
      </c>
      <c r="F39" s="40">
        <v>10</v>
      </c>
      <c r="G39" s="40">
        <v>8</v>
      </c>
      <c r="H39" s="40">
        <v>0</v>
      </c>
      <c r="I39" s="40">
        <v>5</v>
      </c>
      <c r="J39" s="10">
        <f t="shared" si="2"/>
        <v>0.625</v>
      </c>
    </row>
    <row r="40" spans="1:10" x14ac:dyDescent="0.25">
      <c r="A40" s="65">
        <v>8</v>
      </c>
      <c r="B40" s="4">
        <v>13</v>
      </c>
      <c r="C40" s="48" t="s">
        <v>45</v>
      </c>
      <c r="D40" s="48" t="s">
        <v>27</v>
      </c>
      <c r="E40" s="41" t="s">
        <v>83</v>
      </c>
      <c r="F40" s="40">
        <v>7</v>
      </c>
      <c r="G40" s="40">
        <v>6</v>
      </c>
      <c r="H40" s="40">
        <v>0</v>
      </c>
      <c r="I40" s="40">
        <v>4</v>
      </c>
      <c r="J40" s="10">
        <f t="shared" si="2"/>
        <v>0.66666666666666663</v>
      </c>
    </row>
    <row r="41" spans="1:10" x14ac:dyDescent="0.25">
      <c r="A41" s="65">
        <v>8</v>
      </c>
      <c r="B41" s="4">
        <v>20</v>
      </c>
      <c r="C41" s="48" t="s">
        <v>45</v>
      </c>
      <c r="D41" s="48" t="s">
        <v>27</v>
      </c>
      <c r="E41" s="40" t="s">
        <v>71</v>
      </c>
      <c r="F41" s="40">
        <v>8</v>
      </c>
      <c r="G41" s="40">
        <v>7</v>
      </c>
      <c r="H41" s="40">
        <v>0</v>
      </c>
      <c r="I41" s="40">
        <v>7</v>
      </c>
      <c r="J41" s="10">
        <f t="shared" si="2"/>
        <v>1</v>
      </c>
    </row>
    <row r="42" spans="1:10" x14ac:dyDescent="0.25">
      <c r="A42" s="65">
        <v>8</v>
      </c>
      <c r="B42" s="4">
        <v>4</v>
      </c>
      <c r="C42" s="48" t="s">
        <v>63</v>
      </c>
      <c r="D42" s="48" t="s">
        <v>20</v>
      </c>
      <c r="E42" s="41" t="s">
        <v>88</v>
      </c>
      <c r="F42" s="40">
        <v>8</v>
      </c>
      <c r="G42" s="40">
        <v>5</v>
      </c>
      <c r="H42" s="40">
        <v>0</v>
      </c>
      <c r="I42" s="40">
        <v>5</v>
      </c>
      <c r="J42" s="10">
        <f t="shared" si="2"/>
        <v>1</v>
      </c>
    </row>
    <row r="43" spans="1:10" x14ac:dyDescent="0.25">
      <c r="A43" s="65">
        <v>8</v>
      </c>
      <c r="B43" s="4">
        <v>28</v>
      </c>
      <c r="C43" s="48" t="s">
        <v>63</v>
      </c>
      <c r="D43" s="48" t="s">
        <v>20</v>
      </c>
      <c r="E43" s="40" t="s">
        <v>91</v>
      </c>
      <c r="F43" s="40">
        <v>16</v>
      </c>
      <c r="G43" s="40">
        <v>10</v>
      </c>
      <c r="H43" s="40">
        <v>0</v>
      </c>
      <c r="I43" s="40">
        <v>10</v>
      </c>
      <c r="J43" s="10">
        <f t="shared" si="2"/>
        <v>1</v>
      </c>
    </row>
    <row r="44" spans="1:10" x14ac:dyDescent="0.25">
      <c r="A44" s="65">
        <v>8</v>
      </c>
      <c r="B44" s="4">
        <v>5</v>
      </c>
      <c r="C44" s="48" t="s">
        <v>63</v>
      </c>
      <c r="D44" s="48" t="s">
        <v>22</v>
      </c>
      <c r="E44" s="41" t="s">
        <v>88</v>
      </c>
      <c r="F44" s="40">
        <v>10</v>
      </c>
      <c r="G44" s="40">
        <v>10</v>
      </c>
      <c r="H44" s="40">
        <v>0</v>
      </c>
      <c r="I44" s="40">
        <v>9</v>
      </c>
      <c r="J44" s="10">
        <f t="shared" si="2"/>
        <v>0.9</v>
      </c>
    </row>
    <row r="45" spans="1:10" x14ac:dyDescent="0.25">
      <c r="A45" s="65">
        <v>8</v>
      </c>
      <c r="B45" s="4">
        <v>21</v>
      </c>
      <c r="C45" s="18" t="s">
        <v>63</v>
      </c>
      <c r="D45" s="18" t="s">
        <v>22</v>
      </c>
      <c r="E45" s="39" t="s">
        <v>91</v>
      </c>
      <c r="F45" s="39">
        <v>16</v>
      </c>
      <c r="G45" s="39">
        <v>12</v>
      </c>
      <c r="H45" s="39">
        <v>0</v>
      </c>
      <c r="I45" s="39">
        <v>11</v>
      </c>
      <c r="J45" s="10">
        <f t="shared" si="2"/>
        <v>0.91666666666666663</v>
      </c>
    </row>
    <row r="46" spans="1:10" x14ac:dyDescent="0.25">
      <c r="A46" s="65">
        <v>8</v>
      </c>
      <c r="B46" s="4">
        <v>12</v>
      </c>
      <c r="C46" s="18" t="s">
        <v>63</v>
      </c>
      <c r="D46" s="18" t="s">
        <v>16</v>
      </c>
      <c r="E46" s="39" t="s">
        <v>91</v>
      </c>
      <c r="F46" s="39">
        <v>14</v>
      </c>
      <c r="G46" s="39">
        <v>14</v>
      </c>
      <c r="H46" s="39">
        <v>0</v>
      </c>
      <c r="I46" s="39">
        <v>13</v>
      </c>
      <c r="J46" s="10">
        <f t="shared" si="2"/>
        <v>0.9285714285714286</v>
      </c>
    </row>
    <row r="47" spans="1:10" x14ac:dyDescent="0.25">
      <c r="A47" s="65">
        <v>8</v>
      </c>
      <c r="B47" s="4">
        <v>5</v>
      </c>
      <c r="C47" s="7" t="s">
        <v>63</v>
      </c>
      <c r="D47" s="7" t="s">
        <v>23</v>
      </c>
      <c r="E47" s="8" t="s">
        <v>88</v>
      </c>
      <c r="F47" s="47">
        <v>10</v>
      </c>
      <c r="G47" s="47">
        <v>10</v>
      </c>
      <c r="H47" s="47">
        <v>0</v>
      </c>
      <c r="I47" s="47">
        <v>7</v>
      </c>
      <c r="J47" s="9">
        <f t="shared" si="2"/>
        <v>0.7</v>
      </c>
    </row>
    <row r="48" spans="1:10" x14ac:dyDescent="0.25">
      <c r="A48" s="65">
        <v>8</v>
      </c>
      <c r="B48" s="4">
        <v>28</v>
      </c>
      <c r="C48" s="18" t="s">
        <v>63</v>
      </c>
      <c r="D48" s="18" t="s">
        <v>23</v>
      </c>
      <c r="E48" s="47" t="s">
        <v>91</v>
      </c>
      <c r="F48" s="39">
        <v>16</v>
      </c>
      <c r="G48" s="39">
        <v>10</v>
      </c>
      <c r="H48" s="39">
        <v>0</v>
      </c>
      <c r="I48" s="39">
        <v>10</v>
      </c>
      <c r="J48" s="10">
        <f t="shared" si="2"/>
        <v>1</v>
      </c>
    </row>
    <row r="49" spans="1:10" x14ac:dyDescent="0.25">
      <c r="A49" s="65">
        <v>8</v>
      </c>
      <c r="B49" s="4">
        <v>4</v>
      </c>
      <c r="C49" s="18" t="s">
        <v>63</v>
      </c>
      <c r="D49" s="18" t="s">
        <v>19</v>
      </c>
      <c r="E49" s="13" t="s">
        <v>88</v>
      </c>
      <c r="F49" s="39">
        <v>10</v>
      </c>
      <c r="G49" s="39">
        <v>6</v>
      </c>
      <c r="H49" s="39">
        <v>0</v>
      </c>
      <c r="I49" s="39">
        <v>6</v>
      </c>
      <c r="J49" s="10">
        <f t="shared" si="2"/>
        <v>1</v>
      </c>
    </row>
    <row r="50" spans="1:10" x14ac:dyDescent="0.25">
      <c r="A50" s="65">
        <v>8</v>
      </c>
      <c r="B50" s="4">
        <v>19</v>
      </c>
      <c r="C50" s="48" t="s">
        <v>63</v>
      </c>
      <c r="D50" s="48" t="s">
        <v>19</v>
      </c>
      <c r="E50" s="40" t="s">
        <v>91</v>
      </c>
      <c r="F50" s="40">
        <v>14</v>
      </c>
      <c r="G50" s="40">
        <v>13</v>
      </c>
      <c r="H50" s="40">
        <v>0</v>
      </c>
      <c r="I50" s="40">
        <v>11</v>
      </c>
      <c r="J50" s="10">
        <f t="shared" si="2"/>
        <v>0.84615384615384615</v>
      </c>
    </row>
  </sheetData>
  <sortState xmlns:xlrd2="http://schemas.microsoft.com/office/spreadsheetml/2017/richdata2" ref="A3:J50">
    <sortCondition ref="C1:C50"/>
  </sortState>
  <dataValidations count="1">
    <dataValidation type="list" allowBlank="1" showInputMessage="1" showErrorMessage="1" sqref="D1:D50" xr:uid="{989B7C79-F523-49D3-9941-18BAD7338C7C}">
      <formula1>"ФОП,ФПП,РПУ, ПА, ОБП, 5С, Картирование, ДЦ, ЭИЦ, СР, ОЕЕ, SMED, АО, Мет.реш.проблем"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5AD5F-C065-41CB-96E3-F0576140B2B1}">
  <dimension ref="A1:J73"/>
  <sheetViews>
    <sheetView workbookViewId="0">
      <selection activeCell="E84" sqref="E84"/>
    </sheetView>
  </sheetViews>
  <sheetFormatPr defaultRowHeight="15" x14ac:dyDescent="0.25"/>
  <cols>
    <col min="3" max="3" width="33.7109375" customWidth="1"/>
    <col min="4" max="4" width="22.42578125" customWidth="1"/>
    <col min="5" max="5" width="31.140625" customWidth="1"/>
  </cols>
  <sheetData>
    <row r="1" spans="1:10" x14ac:dyDescent="0.25">
      <c r="A1" s="38">
        <v>9</v>
      </c>
      <c r="B1" s="4">
        <v>2</v>
      </c>
      <c r="C1" s="48" t="s">
        <v>18</v>
      </c>
      <c r="D1" s="48" t="s">
        <v>16</v>
      </c>
      <c r="E1" s="41" t="s">
        <v>98</v>
      </c>
      <c r="F1" s="40">
        <v>15</v>
      </c>
      <c r="G1" s="40">
        <v>12</v>
      </c>
      <c r="H1" s="40">
        <v>0</v>
      </c>
      <c r="I1" s="40">
        <v>10</v>
      </c>
      <c r="J1" s="52">
        <f t="shared" ref="J1" si="0">IFERROR(I1/G1-H1/G1,"")</f>
        <v>0.83333333333333337</v>
      </c>
    </row>
    <row r="2" spans="1:10" x14ac:dyDescent="0.25">
      <c r="A2" s="38">
        <v>9</v>
      </c>
      <c r="B2" s="4">
        <v>5</v>
      </c>
      <c r="C2" s="48" t="s">
        <v>18</v>
      </c>
      <c r="D2" s="48" t="s">
        <v>20</v>
      </c>
      <c r="E2" s="41" t="s">
        <v>93</v>
      </c>
      <c r="F2" s="40">
        <v>10</v>
      </c>
      <c r="G2" s="40">
        <v>9</v>
      </c>
      <c r="H2" s="40">
        <v>0</v>
      </c>
      <c r="I2" s="40">
        <v>7</v>
      </c>
      <c r="J2" s="52">
        <f t="shared" ref="J2:J33" si="1">IFERROR(I2/G2-H2/G2,"")</f>
        <v>0.77777777777777779</v>
      </c>
    </row>
    <row r="3" spans="1:10" x14ac:dyDescent="0.25">
      <c r="A3" s="38">
        <v>9</v>
      </c>
      <c r="B3" s="4">
        <v>23</v>
      </c>
      <c r="C3" s="18" t="s">
        <v>18</v>
      </c>
      <c r="D3" s="18" t="s">
        <v>20</v>
      </c>
      <c r="E3" s="13" t="s">
        <v>105</v>
      </c>
      <c r="F3" s="39">
        <v>5</v>
      </c>
      <c r="G3" s="39">
        <v>5</v>
      </c>
      <c r="H3" s="39">
        <v>0</v>
      </c>
      <c r="I3" s="39">
        <v>5</v>
      </c>
      <c r="J3" s="52">
        <f t="shared" si="1"/>
        <v>1</v>
      </c>
    </row>
    <row r="4" spans="1:10" x14ac:dyDescent="0.25">
      <c r="A4" s="38">
        <v>9</v>
      </c>
      <c r="B4" s="4">
        <v>4</v>
      </c>
      <c r="C4" s="18" t="s">
        <v>18</v>
      </c>
      <c r="D4" s="18" t="s">
        <v>22</v>
      </c>
      <c r="E4" s="39" t="s">
        <v>94</v>
      </c>
      <c r="F4" s="39">
        <v>11</v>
      </c>
      <c r="G4" s="39">
        <v>10</v>
      </c>
      <c r="H4" s="39">
        <v>1</v>
      </c>
      <c r="I4" s="39">
        <v>9</v>
      </c>
      <c r="J4" s="52">
        <f t="shared" si="1"/>
        <v>0.8</v>
      </c>
    </row>
    <row r="5" spans="1:10" x14ac:dyDescent="0.25">
      <c r="A5" s="38">
        <v>9</v>
      </c>
      <c r="B5" s="4">
        <v>11</v>
      </c>
      <c r="C5" s="48" t="s">
        <v>18</v>
      </c>
      <c r="D5" s="48" t="s">
        <v>22</v>
      </c>
      <c r="E5" s="40" t="s">
        <v>101</v>
      </c>
      <c r="F5" s="40">
        <v>6</v>
      </c>
      <c r="G5" s="40">
        <v>6</v>
      </c>
      <c r="H5" s="40">
        <v>0</v>
      </c>
      <c r="I5" s="40">
        <v>5</v>
      </c>
      <c r="J5" s="52">
        <f t="shared" si="1"/>
        <v>0.83333333333333337</v>
      </c>
    </row>
    <row r="6" spans="1:10" x14ac:dyDescent="0.25">
      <c r="A6" s="38">
        <v>9</v>
      </c>
      <c r="B6" s="4">
        <v>8</v>
      </c>
      <c r="C6" s="18" t="s">
        <v>18</v>
      </c>
      <c r="D6" s="18" t="s">
        <v>16</v>
      </c>
      <c r="E6" s="39" t="s">
        <v>103</v>
      </c>
      <c r="F6" s="39">
        <v>12</v>
      </c>
      <c r="G6" s="39">
        <v>12</v>
      </c>
      <c r="H6" s="39">
        <v>0</v>
      </c>
      <c r="I6" s="39">
        <v>9</v>
      </c>
      <c r="J6" s="52">
        <f t="shared" si="1"/>
        <v>0.75</v>
      </c>
    </row>
    <row r="7" spans="1:10" x14ac:dyDescent="0.25">
      <c r="A7" s="38">
        <v>9</v>
      </c>
      <c r="B7" s="4">
        <v>10</v>
      </c>
      <c r="C7" s="48" t="s">
        <v>18</v>
      </c>
      <c r="D7" s="48" t="s">
        <v>16</v>
      </c>
      <c r="E7" s="40" t="s">
        <v>104</v>
      </c>
      <c r="F7" s="40">
        <v>9</v>
      </c>
      <c r="G7" s="40">
        <v>9</v>
      </c>
      <c r="H7" s="40">
        <v>0</v>
      </c>
      <c r="I7" s="40">
        <v>8</v>
      </c>
      <c r="J7" s="52">
        <f t="shared" si="1"/>
        <v>0.88888888888888884</v>
      </c>
    </row>
    <row r="8" spans="1:10" x14ac:dyDescent="0.25">
      <c r="A8" s="38">
        <v>9</v>
      </c>
      <c r="B8" s="4">
        <v>4</v>
      </c>
      <c r="C8" s="48" t="s">
        <v>18</v>
      </c>
      <c r="D8" s="48" t="s">
        <v>23</v>
      </c>
      <c r="E8" s="40" t="s">
        <v>94</v>
      </c>
      <c r="F8" s="40">
        <v>11</v>
      </c>
      <c r="G8" s="40">
        <v>10</v>
      </c>
      <c r="H8" s="40">
        <v>0</v>
      </c>
      <c r="I8" s="40">
        <v>9</v>
      </c>
      <c r="J8" s="52">
        <f t="shared" si="1"/>
        <v>0.9</v>
      </c>
    </row>
    <row r="9" spans="1:10" x14ac:dyDescent="0.25">
      <c r="A9" s="38">
        <v>9</v>
      </c>
      <c r="B9" s="4">
        <v>11</v>
      </c>
      <c r="C9" s="18" t="s">
        <v>18</v>
      </c>
      <c r="D9" s="18" t="s">
        <v>23</v>
      </c>
      <c r="E9" s="39" t="s">
        <v>101</v>
      </c>
      <c r="F9" s="39">
        <v>6</v>
      </c>
      <c r="G9" s="39">
        <v>6</v>
      </c>
      <c r="H9" s="39">
        <v>0</v>
      </c>
      <c r="I9" s="39">
        <v>5</v>
      </c>
      <c r="J9" s="52">
        <f t="shared" si="1"/>
        <v>0.83333333333333337</v>
      </c>
    </row>
    <row r="10" spans="1:10" x14ac:dyDescent="0.25">
      <c r="A10" s="38">
        <v>9</v>
      </c>
      <c r="B10" s="4">
        <v>5</v>
      </c>
      <c r="C10" s="18" t="s">
        <v>18</v>
      </c>
      <c r="D10" s="18" t="s">
        <v>19</v>
      </c>
      <c r="E10" s="13" t="s">
        <v>93</v>
      </c>
      <c r="F10" s="39">
        <v>10</v>
      </c>
      <c r="G10" s="39">
        <v>10</v>
      </c>
      <c r="H10" s="39">
        <v>0</v>
      </c>
      <c r="I10" s="39">
        <v>7</v>
      </c>
      <c r="J10" s="52">
        <f t="shared" si="1"/>
        <v>0.7</v>
      </c>
    </row>
    <row r="11" spans="1:10" x14ac:dyDescent="0.25">
      <c r="A11" s="38">
        <v>9</v>
      </c>
      <c r="B11" s="4">
        <v>23</v>
      </c>
      <c r="C11" s="48" t="s">
        <v>18</v>
      </c>
      <c r="D11" s="48" t="s">
        <v>19</v>
      </c>
      <c r="E11" s="41" t="s">
        <v>105</v>
      </c>
      <c r="F11" s="40">
        <v>5</v>
      </c>
      <c r="G11" s="40">
        <v>5</v>
      </c>
      <c r="H11" s="40">
        <v>0</v>
      </c>
      <c r="I11" s="40">
        <v>5</v>
      </c>
      <c r="J11" s="52">
        <f t="shared" si="1"/>
        <v>1</v>
      </c>
    </row>
    <row r="12" spans="1:10" x14ac:dyDescent="0.25">
      <c r="A12" s="38">
        <v>9</v>
      </c>
      <c r="B12" s="4">
        <v>24</v>
      </c>
      <c r="C12" s="48" t="s">
        <v>18</v>
      </c>
      <c r="D12" s="48" t="s">
        <v>27</v>
      </c>
      <c r="E12" s="41" t="s">
        <v>78</v>
      </c>
      <c r="F12" s="40">
        <v>9</v>
      </c>
      <c r="G12" s="40">
        <v>9</v>
      </c>
      <c r="H12" s="40">
        <v>0</v>
      </c>
      <c r="I12" s="40">
        <v>7</v>
      </c>
      <c r="J12" s="52">
        <f t="shared" si="1"/>
        <v>0.77777777777777779</v>
      </c>
    </row>
    <row r="13" spans="1:10" x14ac:dyDescent="0.25">
      <c r="A13" s="38">
        <v>9</v>
      </c>
      <c r="B13" s="4">
        <v>4</v>
      </c>
      <c r="C13" s="48" t="s">
        <v>58</v>
      </c>
      <c r="D13" s="5" t="s">
        <v>20</v>
      </c>
      <c r="E13" s="40" t="s">
        <v>101</v>
      </c>
      <c r="F13" s="40">
        <v>6</v>
      </c>
      <c r="G13" s="40">
        <v>6</v>
      </c>
      <c r="H13" s="40">
        <v>0</v>
      </c>
      <c r="I13" s="40">
        <v>5</v>
      </c>
      <c r="J13" s="52">
        <f t="shared" si="1"/>
        <v>0.83333333333333337</v>
      </c>
    </row>
    <row r="14" spans="1:10" x14ac:dyDescent="0.25">
      <c r="A14" s="38">
        <v>9</v>
      </c>
      <c r="B14" s="4">
        <v>10</v>
      </c>
      <c r="C14" s="48" t="s">
        <v>58</v>
      </c>
      <c r="D14" s="48" t="s">
        <v>20</v>
      </c>
      <c r="E14" s="40" t="s">
        <v>103</v>
      </c>
      <c r="F14" s="40">
        <v>5</v>
      </c>
      <c r="G14" s="40">
        <v>5</v>
      </c>
      <c r="H14" s="40">
        <v>0</v>
      </c>
      <c r="I14" s="40">
        <v>4</v>
      </c>
      <c r="J14" s="52">
        <f t="shared" si="1"/>
        <v>0.8</v>
      </c>
    </row>
    <row r="15" spans="1:10" x14ac:dyDescent="0.25">
      <c r="A15" s="38">
        <v>9</v>
      </c>
      <c r="B15" s="4">
        <v>16</v>
      </c>
      <c r="C15" s="48" t="s">
        <v>58</v>
      </c>
      <c r="D15" s="48" t="s">
        <v>20</v>
      </c>
      <c r="E15" s="40" t="s">
        <v>100</v>
      </c>
      <c r="F15" s="40">
        <v>9</v>
      </c>
      <c r="G15" s="40">
        <v>9</v>
      </c>
      <c r="H15" s="40">
        <v>0</v>
      </c>
      <c r="I15" s="40">
        <v>7</v>
      </c>
      <c r="J15" s="52">
        <f t="shared" si="1"/>
        <v>0.77777777777777779</v>
      </c>
    </row>
    <row r="16" spans="1:10" x14ac:dyDescent="0.25">
      <c r="A16" s="38">
        <v>9</v>
      </c>
      <c r="B16" s="4">
        <v>11</v>
      </c>
      <c r="C16" s="18" t="s">
        <v>58</v>
      </c>
      <c r="D16" s="18" t="s">
        <v>20</v>
      </c>
      <c r="E16" s="13" t="s">
        <v>102</v>
      </c>
      <c r="F16" s="39">
        <v>7</v>
      </c>
      <c r="G16" s="39">
        <v>5</v>
      </c>
      <c r="H16" s="39">
        <v>0</v>
      </c>
      <c r="I16" s="39">
        <v>4</v>
      </c>
      <c r="J16" s="52">
        <f t="shared" si="1"/>
        <v>0.8</v>
      </c>
    </row>
    <row r="17" spans="1:10" x14ac:dyDescent="0.25">
      <c r="A17" s="38">
        <v>9</v>
      </c>
      <c r="B17" s="4">
        <v>9</v>
      </c>
      <c r="C17" s="48" t="s">
        <v>58</v>
      </c>
      <c r="D17" s="48" t="s">
        <v>22</v>
      </c>
      <c r="E17" s="41" t="s">
        <v>98</v>
      </c>
      <c r="F17" s="40">
        <v>13</v>
      </c>
      <c r="G17" s="40">
        <v>10</v>
      </c>
      <c r="H17" s="40">
        <v>0</v>
      </c>
      <c r="I17" s="40">
        <v>8</v>
      </c>
      <c r="J17" s="52">
        <f t="shared" si="1"/>
        <v>0.8</v>
      </c>
    </row>
    <row r="18" spans="1:10" x14ac:dyDescent="0.25">
      <c r="A18" s="38">
        <v>9</v>
      </c>
      <c r="B18" s="4">
        <v>23</v>
      </c>
      <c r="C18" s="48" t="s">
        <v>58</v>
      </c>
      <c r="D18" s="48" t="s">
        <v>22</v>
      </c>
      <c r="E18" s="41" t="s">
        <v>102</v>
      </c>
      <c r="F18" s="40">
        <v>9</v>
      </c>
      <c r="G18" s="40">
        <v>8</v>
      </c>
      <c r="H18" s="40">
        <v>0</v>
      </c>
      <c r="I18" s="40">
        <v>6</v>
      </c>
      <c r="J18" s="52">
        <f t="shared" si="1"/>
        <v>0.75</v>
      </c>
    </row>
    <row r="19" spans="1:10" x14ac:dyDescent="0.25">
      <c r="A19" s="38">
        <v>9</v>
      </c>
      <c r="B19" s="4">
        <v>8</v>
      </c>
      <c r="C19" s="48" t="s">
        <v>58</v>
      </c>
      <c r="D19" s="48" t="s">
        <v>75</v>
      </c>
      <c r="E19" s="41" t="s">
        <v>87</v>
      </c>
      <c r="F19" s="40">
        <v>6</v>
      </c>
      <c r="G19" s="40">
        <v>6</v>
      </c>
      <c r="H19" s="40">
        <v>0</v>
      </c>
      <c r="I19" s="40">
        <v>5</v>
      </c>
      <c r="J19" s="52">
        <f t="shared" si="1"/>
        <v>0.83333333333333337</v>
      </c>
    </row>
    <row r="20" spans="1:10" x14ac:dyDescent="0.25">
      <c r="A20" s="38">
        <v>9</v>
      </c>
      <c r="B20" s="4">
        <v>5</v>
      </c>
      <c r="C20" s="18" t="s">
        <v>58</v>
      </c>
      <c r="D20" s="18" t="s">
        <v>16</v>
      </c>
      <c r="E20" s="13" t="s">
        <v>102</v>
      </c>
      <c r="F20" s="39">
        <v>9</v>
      </c>
      <c r="G20" s="39">
        <v>7</v>
      </c>
      <c r="H20" s="39">
        <v>0</v>
      </c>
      <c r="I20" s="39">
        <v>6</v>
      </c>
      <c r="J20" s="52">
        <f t="shared" si="1"/>
        <v>0.8571428571428571</v>
      </c>
    </row>
    <row r="21" spans="1:10" x14ac:dyDescent="0.25">
      <c r="A21" s="38">
        <v>9</v>
      </c>
      <c r="B21" s="4">
        <v>9</v>
      </c>
      <c r="C21" s="18" t="s">
        <v>58</v>
      </c>
      <c r="D21" s="18" t="s">
        <v>23</v>
      </c>
      <c r="E21" s="13" t="s">
        <v>98</v>
      </c>
      <c r="F21" s="39">
        <v>13</v>
      </c>
      <c r="G21" s="39">
        <v>7</v>
      </c>
      <c r="H21" s="39">
        <v>0</v>
      </c>
      <c r="I21" s="39">
        <v>6</v>
      </c>
      <c r="J21" s="52">
        <f t="shared" si="1"/>
        <v>0.8571428571428571</v>
      </c>
    </row>
    <row r="22" spans="1:10" x14ac:dyDescent="0.25">
      <c r="A22" s="38">
        <v>9</v>
      </c>
      <c r="B22" s="4">
        <v>23</v>
      </c>
      <c r="C22" s="18" t="s">
        <v>58</v>
      </c>
      <c r="D22" s="18" t="s">
        <v>23</v>
      </c>
      <c r="E22" s="13" t="s">
        <v>102</v>
      </c>
      <c r="F22" s="39">
        <v>9</v>
      </c>
      <c r="G22" s="39">
        <v>6</v>
      </c>
      <c r="H22" s="39">
        <v>0</v>
      </c>
      <c r="I22" s="39">
        <v>6</v>
      </c>
      <c r="J22" s="52">
        <f t="shared" si="1"/>
        <v>1</v>
      </c>
    </row>
    <row r="23" spans="1:10" x14ac:dyDescent="0.25">
      <c r="A23" s="38">
        <v>9</v>
      </c>
      <c r="B23" s="4">
        <v>4</v>
      </c>
      <c r="C23" s="18" t="s">
        <v>58</v>
      </c>
      <c r="D23" s="18" t="s">
        <v>19</v>
      </c>
      <c r="E23" s="39" t="s">
        <v>101</v>
      </c>
      <c r="F23" s="39">
        <v>6</v>
      </c>
      <c r="G23" s="39">
        <v>6</v>
      </c>
      <c r="H23" s="39">
        <v>0</v>
      </c>
      <c r="I23" s="39">
        <v>5</v>
      </c>
      <c r="J23" s="52">
        <f t="shared" si="1"/>
        <v>0.83333333333333337</v>
      </c>
    </row>
    <row r="24" spans="1:10" x14ac:dyDescent="0.25">
      <c r="A24" s="38">
        <v>9</v>
      </c>
      <c r="B24" s="4">
        <v>10</v>
      </c>
      <c r="C24" s="18" t="s">
        <v>58</v>
      </c>
      <c r="D24" s="18" t="s">
        <v>19</v>
      </c>
      <c r="E24" s="39" t="s">
        <v>103</v>
      </c>
      <c r="F24" s="39">
        <v>5</v>
      </c>
      <c r="G24" s="39">
        <v>5</v>
      </c>
      <c r="H24" s="39">
        <v>0</v>
      </c>
      <c r="I24" s="39">
        <v>4</v>
      </c>
      <c r="J24" s="52">
        <f t="shared" si="1"/>
        <v>0.8</v>
      </c>
    </row>
    <row r="25" spans="1:10" x14ac:dyDescent="0.25">
      <c r="A25" s="38">
        <v>9</v>
      </c>
      <c r="B25" s="4">
        <v>16</v>
      </c>
      <c r="C25" s="18" t="s">
        <v>58</v>
      </c>
      <c r="D25" s="18" t="s">
        <v>19</v>
      </c>
      <c r="E25" s="39" t="s">
        <v>100</v>
      </c>
      <c r="F25" s="39">
        <v>9</v>
      </c>
      <c r="G25" s="39">
        <v>9</v>
      </c>
      <c r="H25" s="39">
        <v>0</v>
      </c>
      <c r="I25" s="39">
        <v>7</v>
      </c>
      <c r="J25" s="52">
        <f t="shared" si="1"/>
        <v>0.77777777777777779</v>
      </c>
    </row>
    <row r="26" spans="1:10" x14ac:dyDescent="0.25">
      <c r="A26" s="38">
        <v>9</v>
      </c>
      <c r="B26" s="4">
        <v>11</v>
      </c>
      <c r="C26" s="48" t="s">
        <v>58</v>
      </c>
      <c r="D26" s="48" t="s">
        <v>19</v>
      </c>
      <c r="E26" s="41" t="s">
        <v>102</v>
      </c>
      <c r="F26" s="40">
        <v>7</v>
      </c>
      <c r="G26" s="40">
        <v>6</v>
      </c>
      <c r="H26" s="40">
        <v>0</v>
      </c>
      <c r="I26" s="40">
        <v>5</v>
      </c>
      <c r="J26" s="52">
        <f t="shared" si="1"/>
        <v>0.83333333333333337</v>
      </c>
    </row>
    <row r="27" spans="1:10" x14ac:dyDescent="0.25">
      <c r="A27" s="38">
        <v>9</v>
      </c>
      <c r="B27" s="4">
        <v>25</v>
      </c>
      <c r="C27" s="5" t="s">
        <v>58</v>
      </c>
      <c r="D27" s="5" t="s">
        <v>27</v>
      </c>
      <c r="E27" s="41" t="s">
        <v>87</v>
      </c>
      <c r="F27" s="40">
        <v>4</v>
      </c>
      <c r="G27" s="40">
        <v>4</v>
      </c>
      <c r="H27" s="40">
        <v>0</v>
      </c>
      <c r="I27" s="40">
        <v>4</v>
      </c>
      <c r="J27" s="52">
        <f t="shared" si="1"/>
        <v>1</v>
      </c>
    </row>
    <row r="28" spans="1:10" x14ac:dyDescent="0.25">
      <c r="A28" s="38">
        <v>9</v>
      </c>
      <c r="B28" s="4">
        <v>5</v>
      </c>
      <c r="C28" s="48" t="s">
        <v>90</v>
      </c>
      <c r="D28" s="48" t="s">
        <v>20</v>
      </c>
      <c r="E28" s="41" t="s">
        <v>95</v>
      </c>
      <c r="F28" s="40">
        <v>10</v>
      </c>
      <c r="G28" s="40">
        <v>6</v>
      </c>
      <c r="H28" s="40">
        <v>0</v>
      </c>
      <c r="I28" s="40">
        <v>5</v>
      </c>
      <c r="J28" s="52">
        <f t="shared" si="1"/>
        <v>0.83333333333333337</v>
      </c>
    </row>
    <row r="29" spans="1:10" x14ac:dyDescent="0.25">
      <c r="A29" s="38">
        <v>9</v>
      </c>
      <c r="B29" s="4">
        <v>12</v>
      </c>
      <c r="C29" s="18" t="s">
        <v>90</v>
      </c>
      <c r="D29" s="18" t="s">
        <v>22</v>
      </c>
      <c r="E29" s="39" t="s">
        <v>103</v>
      </c>
      <c r="F29" s="39">
        <v>5</v>
      </c>
      <c r="G29" s="39">
        <v>5</v>
      </c>
      <c r="H29" s="39">
        <v>0</v>
      </c>
      <c r="I29" s="39">
        <v>5</v>
      </c>
      <c r="J29" s="52">
        <f t="shared" si="1"/>
        <v>1</v>
      </c>
    </row>
    <row r="30" spans="1:10" x14ac:dyDescent="0.25">
      <c r="A30" s="38">
        <v>9</v>
      </c>
      <c r="B30" s="4">
        <v>12</v>
      </c>
      <c r="C30" s="48" t="s">
        <v>90</v>
      </c>
      <c r="D30" s="48" t="s">
        <v>23</v>
      </c>
      <c r="E30" s="40" t="s">
        <v>103</v>
      </c>
      <c r="F30" s="40">
        <v>5</v>
      </c>
      <c r="G30" s="40">
        <v>5</v>
      </c>
      <c r="H30" s="40">
        <v>0</v>
      </c>
      <c r="I30" s="40">
        <v>5</v>
      </c>
      <c r="J30" s="52">
        <f t="shared" si="1"/>
        <v>1</v>
      </c>
    </row>
    <row r="31" spans="1:10" x14ac:dyDescent="0.25">
      <c r="A31" s="38">
        <v>9</v>
      </c>
      <c r="B31" s="4">
        <v>5</v>
      </c>
      <c r="C31" s="18" t="s">
        <v>90</v>
      </c>
      <c r="D31" s="18" t="s">
        <v>19</v>
      </c>
      <c r="E31" s="13" t="s">
        <v>95</v>
      </c>
      <c r="F31" s="39">
        <v>11</v>
      </c>
      <c r="G31" s="39">
        <v>5</v>
      </c>
      <c r="H31" s="39">
        <v>0</v>
      </c>
      <c r="I31" s="39">
        <v>5</v>
      </c>
      <c r="J31" s="52">
        <f t="shared" si="1"/>
        <v>1</v>
      </c>
    </row>
    <row r="32" spans="1:10" x14ac:dyDescent="0.25">
      <c r="A32" s="38">
        <v>9</v>
      </c>
      <c r="B32" s="4">
        <v>9</v>
      </c>
      <c r="C32" s="18" t="s">
        <v>15</v>
      </c>
      <c r="D32" s="18" t="s">
        <v>20</v>
      </c>
      <c r="E32" s="13" t="s">
        <v>99</v>
      </c>
      <c r="F32" s="39">
        <v>10</v>
      </c>
      <c r="G32" s="39">
        <v>8</v>
      </c>
      <c r="H32" s="39">
        <v>0</v>
      </c>
      <c r="I32" s="39">
        <v>6</v>
      </c>
      <c r="J32" s="52">
        <f t="shared" si="1"/>
        <v>0.75</v>
      </c>
    </row>
    <row r="33" spans="1:10" x14ac:dyDescent="0.25">
      <c r="A33" s="38">
        <v>9</v>
      </c>
      <c r="B33" s="4">
        <v>23</v>
      </c>
      <c r="C33" s="48" t="s">
        <v>15</v>
      </c>
      <c r="D33" s="48" t="s">
        <v>20</v>
      </c>
      <c r="E33" s="40" t="s">
        <v>104</v>
      </c>
      <c r="F33" s="40">
        <v>8</v>
      </c>
      <c r="G33" s="40">
        <v>7</v>
      </c>
      <c r="H33" s="40">
        <v>0</v>
      </c>
      <c r="I33" s="40">
        <v>6</v>
      </c>
      <c r="J33" s="52">
        <f t="shared" si="1"/>
        <v>0.8571428571428571</v>
      </c>
    </row>
    <row r="34" spans="1:10" x14ac:dyDescent="0.25">
      <c r="A34" s="38">
        <v>9</v>
      </c>
      <c r="B34" s="4">
        <v>8</v>
      </c>
      <c r="C34" s="48" t="s">
        <v>15</v>
      </c>
      <c r="D34" s="48" t="s">
        <v>22</v>
      </c>
      <c r="E34" s="41" t="s">
        <v>99</v>
      </c>
      <c r="F34" s="40">
        <v>12</v>
      </c>
      <c r="G34" s="40">
        <v>8</v>
      </c>
      <c r="H34" s="40">
        <v>0</v>
      </c>
      <c r="I34" s="40">
        <v>7</v>
      </c>
      <c r="J34" s="52">
        <f t="shared" ref="J34:J65" si="2">IFERROR(I34/G34-H34/G34,"")</f>
        <v>0.875</v>
      </c>
    </row>
    <row r="35" spans="1:10" x14ac:dyDescent="0.25">
      <c r="A35" s="38">
        <v>9</v>
      </c>
      <c r="B35" s="4">
        <v>11</v>
      </c>
      <c r="C35" s="48" t="s">
        <v>15</v>
      </c>
      <c r="D35" s="48" t="s">
        <v>22</v>
      </c>
      <c r="E35" s="41" t="s">
        <v>93</v>
      </c>
      <c r="F35" s="40">
        <v>8</v>
      </c>
      <c r="G35" s="40">
        <v>7</v>
      </c>
      <c r="H35" s="40">
        <v>0</v>
      </c>
      <c r="I35" s="40">
        <v>5</v>
      </c>
      <c r="J35" s="52">
        <f t="shared" si="2"/>
        <v>0.7142857142857143</v>
      </c>
    </row>
    <row r="36" spans="1:10" x14ac:dyDescent="0.25">
      <c r="A36" s="38">
        <v>9</v>
      </c>
      <c r="B36" s="4">
        <v>24</v>
      </c>
      <c r="C36" s="48" t="s">
        <v>15</v>
      </c>
      <c r="D36" s="48" t="s">
        <v>22</v>
      </c>
      <c r="E36" s="40" t="s">
        <v>104</v>
      </c>
      <c r="F36" s="40">
        <v>7</v>
      </c>
      <c r="G36" s="40">
        <v>7</v>
      </c>
      <c r="H36" s="40">
        <v>0</v>
      </c>
      <c r="I36" s="40">
        <v>6</v>
      </c>
      <c r="J36" s="52">
        <f t="shared" si="2"/>
        <v>0.8571428571428571</v>
      </c>
    </row>
    <row r="37" spans="1:10" x14ac:dyDescent="0.25">
      <c r="A37" s="38">
        <v>9</v>
      </c>
      <c r="B37" s="4">
        <v>4</v>
      </c>
      <c r="C37" s="48" t="s">
        <v>15</v>
      </c>
      <c r="D37" s="48" t="s">
        <v>75</v>
      </c>
      <c r="E37" s="41" t="s">
        <v>70</v>
      </c>
      <c r="F37" s="40">
        <v>7</v>
      </c>
      <c r="G37" s="40">
        <v>5</v>
      </c>
      <c r="H37" s="40">
        <v>0</v>
      </c>
      <c r="I37" s="40">
        <v>5</v>
      </c>
      <c r="J37" s="52">
        <f t="shared" si="2"/>
        <v>1</v>
      </c>
    </row>
    <row r="38" spans="1:10" x14ac:dyDescent="0.25">
      <c r="A38" s="38">
        <v>9</v>
      </c>
      <c r="B38" s="4">
        <v>2</v>
      </c>
      <c r="C38" s="18" t="s">
        <v>15</v>
      </c>
      <c r="D38" s="18" t="s">
        <v>16</v>
      </c>
      <c r="E38" s="13" t="s">
        <v>99</v>
      </c>
      <c r="F38" s="39">
        <v>12</v>
      </c>
      <c r="G38" s="39">
        <v>12</v>
      </c>
      <c r="H38" s="39">
        <v>1</v>
      </c>
      <c r="I38" s="39">
        <v>10</v>
      </c>
      <c r="J38" s="52">
        <f t="shared" si="2"/>
        <v>0.75</v>
      </c>
    </row>
    <row r="39" spans="1:10" x14ac:dyDescent="0.25">
      <c r="A39" s="38">
        <v>9</v>
      </c>
      <c r="B39" s="4">
        <v>30</v>
      </c>
      <c r="C39" s="18" t="s">
        <v>15</v>
      </c>
      <c r="D39" s="18" t="s">
        <v>16</v>
      </c>
      <c r="E39" s="13" t="s">
        <v>109</v>
      </c>
      <c r="F39" s="39">
        <v>6</v>
      </c>
      <c r="G39" s="39">
        <v>6</v>
      </c>
      <c r="H39" s="39">
        <v>0</v>
      </c>
      <c r="I39" s="39">
        <v>6</v>
      </c>
      <c r="J39" s="52">
        <f t="shared" si="2"/>
        <v>1</v>
      </c>
    </row>
    <row r="40" spans="1:10" x14ac:dyDescent="0.25">
      <c r="A40" s="38">
        <v>9</v>
      </c>
      <c r="B40" s="4">
        <v>8</v>
      </c>
      <c r="C40" s="18" t="s">
        <v>15</v>
      </c>
      <c r="D40" s="18" t="s">
        <v>23</v>
      </c>
      <c r="E40" s="13" t="s">
        <v>99</v>
      </c>
      <c r="F40" s="39">
        <v>12</v>
      </c>
      <c r="G40" s="39">
        <v>8</v>
      </c>
      <c r="H40" s="39">
        <v>0</v>
      </c>
      <c r="I40" s="39">
        <v>6</v>
      </c>
      <c r="J40" s="52">
        <f t="shared" si="2"/>
        <v>0.75</v>
      </c>
    </row>
    <row r="41" spans="1:10" x14ac:dyDescent="0.25">
      <c r="A41" s="38">
        <v>9</v>
      </c>
      <c r="B41" s="4">
        <v>11</v>
      </c>
      <c r="C41" s="18" t="s">
        <v>15</v>
      </c>
      <c r="D41" s="18" t="s">
        <v>23</v>
      </c>
      <c r="E41" s="13" t="s">
        <v>93</v>
      </c>
      <c r="F41" s="39">
        <v>8</v>
      </c>
      <c r="G41" s="39">
        <v>7</v>
      </c>
      <c r="H41" s="39">
        <v>0</v>
      </c>
      <c r="I41" s="39">
        <v>5</v>
      </c>
      <c r="J41" s="52">
        <f t="shared" si="2"/>
        <v>0.7142857142857143</v>
      </c>
    </row>
    <row r="42" spans="1:10" x14ac:dyDescent="0.25">
      <c r="A42" s="38">
        <v>9</v>
      </c>
      <c r="B42" s="4">
        <v>24</v>
      </c>
      <c r="C42" s="18" t="s">
        <v>15</v>
      </c>
      <c r="D42" s="18" t="s">
        <v>23</v>
      </c>
      <c r="E42" s="39" t="s">
        <v>104</v>
      </c>
      <c r="F42" s="39">
        <v>7</v>
      </c>
      <c r="G42" s="39">
        <v>7</v>
      </c>
      <c r="H42" s="39">
        <v>0</v>
      </c>
      <c r="I42" s="39">
        <v>6</v>
      </c>
      <c r="J42" s="52">
        <f t="shared" si="2"/>
        <v>0.8571428571428571</v>
      </c>
    </row>
    <row r="43" spans="1:10" x14ac:dyDescent="0.25">
      <c r="A43" s="38">
        <v>9</v>
      </c>
      <c r="B43" s="4">
        <v>9</v>
      </c>
      <c r="C43" s="48" t="s">
        <v>15</v>
      </c>
      <c r="D43" s="48" t="s">
        <v>19</v>
      </c>
      <c r="E43" s="41" t="s">
        <v>99</v>
      </c>
      <c r="F43" s="40">
        <v>10</v>
      </c>
      <c r="G43" s="40">
        <v>8</v>
      </c>
      <c r="H43" s="40">
        <v>0</v>
      </c>
      <c r="I43" s="40">
        <v>6</v>
      </c>
      <c r="J43" s="52">
        <f t="shared" si="2"/>
        <v>0.75</v>
      </c>
    </row>
    <row r="44" spans="1:10" x14ac:dyDescent="0.25">
      <c r="A44" s="38">
        <v>9</v>
      </c>
      <c r="B44" s="4">
        <v>23</v>
      </c>
      <c r="C44" s="18" t="s">
        <v>15</v>
      </c>
      <c r="D44" s="18" t="s">
        <v>19</v>
      </c>
      <c r="E44" s="39" t="s">
        <v>104</v>
      </c>
      <c r="F44" s="39">
        <v>8</v>
      </c>
      <c r="G44" s="39">
        <v>8</v>
      </c>
      <c r="H44" s="39">
        <v>0</v>
      </c>
      <c r="I44" s="39">
        <v>7</v>
      </c>
      <c r="J44" s="52">
        <f t="shared" si="2"/>
        <v>0.875</v>
      </c>
    </row>
    <row r="45" spans="1:10" x14ac:dyDescent="0.25">
      <c r="A45" s="38">
        <v>9</v>
      </c>
      <c r="B45" s="4">
        <v>16</v>
      </c>
      <c r="C45" s="18" t="s">
        <v>25</v>
      </c>
      <c r="D45" s="18" t="s">
        <v>20</v>
      </c>
      <c r="E45" s="39" t="s">
        <v>106</v>
      </c>
      <c r="F45" s="39">
        <v>6</v>
      </c>
      <c r="G45" s="39">
        <v>6</v>
      </c>
      <c r="H45" s="39">
        <v>1</v>
      </c>
      <c r="I45" s="39">
        <v>4</v>
      </c>
      <c r="J45" s="43">
        <f t="shared" si="2"/>
        <v>0.5</v>
      </c>
    </row>
    <row r="46" spans="1:10" x14ac:dyDescent="0.25">
      <c r="A46" s="38">
        <v>9</v>
      </c>
      <c r="B46" s="4">
        <v>25</v>
      </c>
      <c r="C46" s="18" t="s">
        <v>25</v>
      </c>
      <c r="D46" s="18" t="s">
        <v>20</v>
      </c>
      <c r="E46" s="39" t="s">
        <v>107</v>
      </c>
      <c r="F46" s="39">
        <v>8</v>
      </c>
      <c r="G46" s="39">
        <v>8</v>
      </c>
      <c r="H46" s="39">
        <v>0</v>
      </c>
      <c r="I46" s="39">
        <v>5</v>
      </c>
      <c r="J46" s="43">
        <f t="shared" si="2"/>
        <v>0.625</v>
      </c>
    </row>
    <row r="47" spans="1:10" x14ac:dyDescent="0.25">
      <c r="A47" s="38">
        <v>9</v>
      </c>
      <c r="B47" s="4">
        <v>10</v>
      </c>
      <c r="C47" s="48" t="s">
        <v>25</v>
      </c>
      <c r="D47" s="48" t="s">
        <v>22</v>
      </c>
      <c r="E47" s="40" t="s">
        <v>96</v>
      </c>
      <c r="F47" s="40">
        <v>5</v>
      </c>
      <c r="G47" s="40">
        <v>4</v>
      </c>
      <c r="H47" s="40">
        <v>0</v>
      </c>
      <c r="I47" s="40">
        <v>4</v>
      </c>
      <c r="J47" s="52">
        <f t="shared" si="2"/>
        <v>1</v>
      </c>
    </row>
    <row r="48" spans="1:10" x14ac:dyDescent="0.25">
      <c r="A48" s="38">
        <v>9</v>
      </c>
      <c r="B48" s="4">
        <v>11</v>
      </c>
      <c r="C48" s="18" t="s">
        <v>25</v>
      </c>
      <c r="D48" s="18" t="s">
        <v>16</v>
      </c>
      <c r="E48" s="13" t="s">
        <v>105</v>
      </c>
      <c r="F48" s="39">
        <v>6</v>
      </c>
      <c r="G48" s="39">
        <v>6</v>
      </c>
      <c r="H48" s="39">
        <v>0</v>
      </c>
      <c r="I48" s="39">
        <v>6</v>
      </c>
      <c r="J48" s="52">
        <f t="shared" si="2"/>
        <v>1</v>
      </c>
    </row>
    <row r="49" spans="1:10" x14ac:dyDescent="0.25">
      <c r="A49" s="38">
        <v>9</v>
      </c>
      <c r="B49" s="4">
        <v>10</v>
      </c>
      <c r="C49" s="18" t="s">
        <v>25</v>
      </c>
      <c r="D49" s="18" t="s">
        <v>23</v>
      </c>
      <c r="E49" s="39" t="s">
        <v>96</v>
      </c>
      <c r="F49" s="39">
        <v>5</v>
      </c>
      <c r="G49" s="39">
        <v>4</v>
      </c>
      <c r="H49" s="39">
        <v>0</v>
      </c>
      <c r="I49" s="39">
        <v>3</v>
      </c>
      <c r="J49" s="52">
        <f t="shared" si="2"/>
        <v>0.75</v>
      </c>
    </row>
    <row r="50" spans="1:10" x14ac:dyDescent="0.25">
      <c r="A50" s="38">
        <v>9</v>
      </c>
      <c r="B50" s="4">
        <v>4</v>
      </c>
      <c r="C50" s="18" t="s">
        <v>25</v>
      </c>
      <c r="D50" s="18" t="s">
        <v>19</v>
      </c>
      <c r="E50" s="13" t="s">
        <v>98</v>
      </c>
      <c r="F50" s="39">
        <v>12</v>
      </c>
      <c r="G50" s="39">
        <v>7</v>
      </c>
      <c r="H50" s="39">
        <v>1</v>
      </c>
      <c r="I50" s="39">
        <v>6</v>
      </c>
      <c r="J50" s="52">
        <f t="shared" si="2"/>
        <v>0.71428571428571419</v>
      </c>
    </row>
    <row r="51" spans="1:10" x14ac:dyDescent="0.25">
      <c r="A51" s="38">
        <v>9</v>
      </c>
      <c r="B51" s="4">
        <v>16</v>
      </c>
      <c r="C51" s="48" t="s">
        <v>25</v>
      </c>
      <c r="D51" s="48" t="s">
        <v>19</v>
      </c>
      <c r="E51" s="40" t="s">
        <v>106</v>
      </c>
      <c r="F51" s="40">
        <v>6</v>
      </c>
      <c r="G51" s="40">
        <v>6</v>
      </c>
      <c r="H51" s="40">
        <v>1</v>
      </c>
      <c r="I51" s="40">
        <v>5</v>
      </c>
      <c r="J51" s="43">
        <f t="shared" si="2"/>
        <v>0.66666666666666674</v>
      </c>
    </row>
    <row r="52" spans="1:10" x14ac:dyDescent="0.25">
      <c r="A52" s="38">
        <v>9</v>
      </c>
      <c r="B52" s="4">
        <v>25</v>
      </c>
      <c r="C52" s="48" t="s">
        <v>25</v>
      </c>
      <c r="D52" s="48" t="s">
        <v>19</v>
      </c>
      <c r="E52" s="40" t="s">
        <v>107</v>
      </c>
      <c r="F52" s="40">
        <v>8</v>
      </c>
      <c r="G52" s="40">
        <v>8</v>
      </c>
      <c r="H52" s="40">
        <v>0</v>
      </c>
      <c r="I52" s="40">
        <v>5</v>
      </c>
      <c r="J52" s="43">
        <f t="shared" si="2"/>
        <v>0.625</v>
      </c>
    </row>
    <row r="53" spans="1:10" x14ac:dyDescent="0.25">
      <c r="A53" s="38">
        <v>9</v>
      </c>
      <c r="B53" s="4">
        <v>4</v>
      </c>
      <c r="C53" s="48" t="s">
        <v>25</v>
      </c>
      <c r="D53" s="48" t="s">
        <v>20</v>
      </c>
      <c r="E53" s="41" t="s">
        <v>98</v>
      </c>
      <c r="F53" s="40">
        <v>12</v>
      </c>
      <c r="G53" s="40">
        <v>7</v>
      </c>
      <c r="H53" s="40">
        <v>0</v>
      </c>
      <c r="I53" s="40">
        <v>6</v>
      </c>
      <c r="J53" s="52">
        <f t="shared" si="2"/>
        <v>0.8571428571428571</v>
      </c>
    </row>
    <row r="54" spans="1:10" x14ac:dyDescent="0.25">
      <c r="A54" s="38">
        <v>9</v>
      </c>
      <c r="B54" s="4">
        <v>9</v>
      </c>
      <c r="C54" s="48" t="s">
        <v>45</v>
      </c>
      <c r="D54" s="48" t="s">
        <v>22</v>
      </c>
      <c r="E54" s="40" t="s">
        <v>100</v>
      </c>
      <c r="F54" s="40">
        <v>11</v>
      </c>
      <c r="G54" s="40">
        <v>10</v>
      </c>
      <c r="H54" s="40">
        <v>0</v>
      </c>
      <c r="I54" s="40">
        <v>7</v>
      </c>
      <c r="J54" s="52">
        <f t="shared" si="2"/>
        <v>0.7</v>
      </c>
    </row>
    <row r="55" spans="1:10" x14ac:dyDescent="0.25">
      <c r="A55" s="38">
        <v>9</v>
      </c>
      <c r="B55" s="4">
        <v>18</v>
      </c>
      <c r="C55" s="5" t="s">
        <v>45</v>
      </c>
      <c r="D55" s="5" t="s">
        <v>22</v>
      </c>
      <c r="E55" s="41" t="s">
        <v>105</v>
      </c>
      <c r="F55" s="46">
        <v>5</v>
      </c>
      <c r="G55" s="46">
        <v>5</v>
      </c>
      <c r="H55" s="46">
        <v>0</v>
      </c>
      <c r="I55" s="46">
        <v>5</v>
      </c>
      <c r="J55" s="66">
        <f t="shared" si="2"/>
        <v>1</v>
      </c>
    </row>
    <row r="56" spans="1:10" x14ac:dyDescent="0.25">
      <c r="A56" s="38">
        <v>9</v>
      </c>
      <c r="B56" s="4">
        <v>24</v>
      </c>
      <c r="C56" s="18" t="s">
        <v>45</v>
      </c>
      <c r="D56" s="18" t="s">
        <v>22</v>
      </c>
      <c r="E56" s="39" t="s">
        <v>106</v>
      </c>
      <c r="F56" s="47">
        <v>6</v>
      </c>
      <c r="G56" s="47">
        <v>4</v>
      </c>
      <c r="H56" s="47">
        <v>0</v>
      </c>
      <c r="I56" s="47">
        <v>4</v>
      </c>
      <c r="J56" s="66">
        <f t="shared" si="2"/>
        <v>1</v>
      </c>
    </row>
    <row r="57" spans="1:10" x14ac:dyDescent="0.25">
      <c r="A57" s="38">
        <v>9</v>
      </c>
      <c r="B57" s="4">
        <v>22</v>
      </c>
      <c r="C57" s="48" t="s">
        <v>45</v>
      </c>
      <c r="D57" s="48" t="s">
        <v>22</v>
      </c>
      <c r="E57" s="40" t="s">
        <v>107</v>
      </c>
      <c r="F57" s="40">
        <v>6</v>
      </c>
      <c r="G57" s="40">
        <v>6</v>
      </c>
      <c r="H57" s="40">
        <v>0</v>
      </c>
      <c r="I57" s="40">
        <v>5</v>
      </c>
      <c r="J57" s="52">
        <f t="shared" si="2"/>
        <v>0.83333333333333337</v>
      </c>
    </row>
    <row r="58" spans="1:10" x14ac:dyDescent="0.25">
      <c r="A58" s="38">
        <v>9</v>
      </c>
      <c r="B58" s="4">
        <v>3</v>
      </c>
      <c r="C58" s="48" t="s">
        <v>45</v>
      </c>
      <c r="D58" s="48" t="s">
        <v>75</v>
      </c>
      <c r="E58" s="41" t="s">
        <v>78</v>
      </c>
      <c r="F58" s="40">
        <v>12</v>
      </c>
      <c r="G58" s="40">
        <v>12</v>
      </c>
      <c r="H58" s="40">
        <v>0</v>
      </c>
      <c r="I58" s="40">
        <v>10</v>
      </c>
      <c r="J58" s="52">
        <f t="shared" si="2"/>
        <v>0.83333333333333337</v>
      </c>
    </row>
    <row r="59" spans="1:10" x14ac:dyDescent="0.25">
      <c r="A59" s="38">
        <v>9</v>
      </c>
      <c r="B59" s="4">
        <v>4</v>
      </c>
      <c r="C59" s="18" t="s">
        <v>45</v>
      </c>
      <c r="D59" s="18" t="s">
        <v>16</v>
      </c>
      <c r="E59" s="39" t="s">
        <v>100</v>
      </c>
      <c r="F59" s="39">
        <v>12</v>
      </c>
      <c r="G59" s="39">
        <v>10</v>
      </c>
      <c r="H59" s="39">
        <v>0</v>
      </c>
      <c r="I59" s="39">
        <v>9</v>
      </c>
      <c r="J59" s="52">
        <f t="shared" si="2"/>
        <v>0.9</v>
      </c>
    </row>
    <row r="60" spans="1:10" x14ac:dyDescent="0.25">
      <c r="A60" s="38">
        <v>9</v>
      </c>
      <c r="B60" s="4">
        <v>16</v>
      </c>
      <c r="C60" s="18" t="s">
        <v>45</v>
      </c>
      <c r="D60" s="18" t="s">
        <v>16</v>
      </c>
      <c r="E60" s="39" t="s">
        <v>101</v>
      </c>
      <c r="F60" s="39">
        <v>7</v>
      </c>
      <c r="G60" s="39">
        <v>7</v>
      </c>
      <c r="H60" s="39">
        <v>0</v>
      </c>
      <c r="I60" s="39">
        <v>5</v>
      </c>
      <c r="J60" s="52">
        <f t="shared" si="2"/>
        <v>0.7142857142857143</v>
      </c>
    </row>
    <row r="61" spans="1:10" x14ac:dyDescent="0.25">
      <c r="A61" s="38">
        <v>9</v>
      </c>
      <c r="B61" s="4">
        <v>17</v>
      </c>
      <c r="C61" s="18" t="s">
        <v>45</v>
      </c>
      <c r="D61" s="18" t="s">
        <v>16</v>
      </c>
      <c r="E61" s="39" t="s">
        <v>107</v>
      </c>
      <c r="F61" s="39">
        <v>7</v>
      </c>
      <c r="G61" s="39">
        <v>7</v>
      </c>
      <c r="H61" s="39">
        <v>0</v>
      </c>
      <c r="I61" s="39">
        <v>3</v>
      </c>
      <c r="J61" s="43">
        <f t="shared" si="2"/>
        <v>0.42857142857142855</v>
      </c>
    </row>
    <row r="62" spans="1:10" x14ac:dyDescent="0.25">
      <c r="A62" s="38">
        <v>9</v>
      </c>
      <c r="B62" s="4">
        <v>9</v>
      </c>
      <c r="C62" s="18" t="s">
        <v>45</v>
      </c>
      <c r="D62" s="18" t="s">
        <v>23</v>
      </c>
      <c r="E62" s="39" t="s">
        <v>100</v>
      </c>
      <c r="F62" s="39">
        <v>11</v>
      </c>
      <c r="G62" s="39">
        <v>10</v>
      </c>
      <c r="H62" s="39">
        <v>0</v>
      </c>
      <c r="I62" s="39">
        <v>7</v>
      </c>
      <c r="J62" s="52">
        <f t="shared" si="2"/>
        <v>0.7</v>
      </c>
    </row>
    <row r="63" spans="1:10" x14ac:dyDescent="0.25">
      <c r="A63" s="38">
        <v>9</v>
      </c>
      <c r="B63" s="4">
        <v>18</v>
      </c>
      <c r="C63" s="18" t="s">
        <v>45</v>
      </c>
      <c r="D63" s="18" t="s">
        <v>23</v>
      </c>
      <c r="E63" s="13" t="s">
        <v>105</v>
      </c>
      <c r="F63" s="39">
        <v>5</v>
      </c>
      <c r="G63" s="39">
        <v>5</v>
      </c>
      <c r="H63" s="39">
        <v>0</v>
      </c>
      <c r="I63" s="39">
        <v>5</v>
      </c>
      <c r="J63" s="52">
        <f t="shared" si="2"/>
        <v>1</v>
      </c>
    </row>
    <row r="64" spans="1:10" x14ac:dyDescent="0.25">
      <c r="A64" s="38">
        <v>9</v>
      </c>
      <c r="B64" s="4">
        <v>24</v>
      </c>
      <c r="C64" s="48" t="s">
        <v>45</v>
      </c>
      <c r="D64" s="48" t="s">
        <v>23</v>
      </c>
      <c r="E64" s="40" t="s">
        <v>106</v>
      </c>
      <c r="F64" s="40">
        <v>6</v>
      </c>
      <c r="G64" s="40">
        <v>4</v>
      </c>
      <c r="H64" s="40">
        <v>0</v>
      </c>
      <c r="I64" s="40">
        <v>4</v>
      </c>
      <c r="J64" s="52">
        <f t="shared" si="2"/>
        <v>1</v>
      </c>
    </row>
    <row r="65" spans="1:10" x14ac:dyDescent="0.25">
      <c r="A65" s="38">
        <v>9</v>
      </c>
      <c r="B65" s="4">
        <v>22</v>
      </c>
      <c r="C65" s="18" t="s">
        <v>45</v>
      </c>
      <c r="D65" s="18" t="s">
        <v>23</v>
      </c>
      <c r="E65" s="39" t="s">
        <v>107</v>
      </c>
      <c r="F65" s="39">
        <v>7</v>
      </c>
      <c r="G65" s="39">
        <v>7</v>
      </c>
      <c r="H65" s="39">
        <v>0</v>
      </c>
      <c r="I65" s="39">
        <v>5</v>
      </c>
      <c r="J65" s="52">
        <f t="shared" si="2"/>
        <v>0.7142857142857143</v>
      </c>
    </row>
    <row r="66" spans="1:10" x14ac:dyDescent="0.25">
      <c r="A66" s="38">
        <v>9</v>
      </c>
      <c r="B66" s="4">
        <v>22</v>
      </c>
      <c r="C66" s="48" t="s">
        <v>63</v>
      </c>
      <c r="D66" s="48" t="s">
        <v>20</v>
      </c>
      <c r="E66" s="41" t="s">
        <v>108</v>
      </c>
      <c r="F66" s="40">
        <v>10</v>
      </c>
      <c r="G66" s="40">
        <v>8</v>
      </c>
      <c r="H66" s="40">
        <v>0</v>
      </c>
      <c r="I66" s="40">
        <v>7</v>
      </c>
      <c r="J66" s="52">
        <f t="shared" ref="J66:J73" si="3">IFERROR(I66/G66-H66/G66,"")</f>
        <v>0.875</v>
      </c>
    </row>
    <row r="67" spans="1:10" x14ac:dyDescent="0.25">
      <c r="A67" s="38">
        <v>9</v>
      </c>
      <c r="B67" s="4">
        <v>18</v>
      </c>
      <c r="C67" s="18" t="s">
        <v>63</v>
      </c>
      <c r="D67" s="18" t="s">
        <v>22</v>
      </c>
      <c r="E67" s="13" t="s">
        <v>95</v>
      </c>
      <c r="F67" s="39">
        <v>7</v>
      </c>
      <c r="G67" s="39">
        <v>6</v>
      </c>
      <c r="H67" s="39">
        <v>0</v>
      </c>
      <c r="I67" s="39">
        <v>5</v>
      </c>
      <c r="J67" s="52">
        <f t="shared" si="3"/>
        <v>0.83333333333333337</v>
      </c>
    </row>
    <row r="68" spans="1:10" x14ac:dyDescent="0.25">
      <c r="A68" s="38">
        <v>9</v>
      </c>
      <c r="B68" s="4">
        <v>24</v>
      </c>
      <c r="C68" s="18" t="s">
        <v>63</v>
      </c>
      <c r="D68" s="18" t="s">
        <v>22</v>
      </c>
      <c r="E68" s="13" t="s">
        <v>108</v>
      </c>
      <c r="F68" s="39">
        <v>9</v>
      </c>
      <c r="G68" s="39">
        <v>8</v>
      </c>
      <c r="H68" s="39">
        <v>0</v>
      </c>
      <c r="I68" s="39">
        <v>7</v>
      </c>
      <c r="J68" s="52">
        <f t="shared" si="3"/>
        <v>0.875</v>
      </c>
    </row>
    <row r="69" spans="1:10" x14ac:dyDescent="0.25">
      <c r="A69" s="38">
        <v>9</v>
      </c>
      <c r="B69" s="4">
        <v>11</v>
      </c>
      <c r="C69" s="48" t="s">
        <v>63</v>
      </c>
      <c r="D69" s="48" t="s">
        <v>16</v>
      </c>
      <c r="E69" s="40" t="s">
        <v>106</v>
      </c>
      <c r="F69" s="40">
        <v>6</v>
      </c>
      <c r="G69" s="40">
        <v>6</v>
      </c>
      <c r="H69" s="40">
        <v>1</v>
      </c>
      <c r="I69" s="40">
        <v>5</v>
      </c>
      <c r="J69" s="43">
        <f t="shared" si="3"/>
        <v>0.66666666666666674</v>
      </c>
    </row>
    <row r="70" spans="1:10" x14ac:dyDescent="0.25">
      <c r="A70" s="38">
        <v>9</v>
      </c>
      <c r="B70" s="4">
        <v>15</v>
      </c>
      <c r="C70" s="48" t="s">
        <v>63</v>
      </c>
      <c r="D70" s="48" t="s">
        <v>16</v>
      </c>
      <c r="E70" s="41" t="s">
        <v>108</v>
      </c>
      <c r="F70" s="40">
        <v>9</v>
      </c>
      <c r="G70" s="40">
        <v>9</v>
      </c>
      <c r="H70" s="40">
        <v>0</v>
      </c>
      <c r="I70" s="40">
        <v>8</v>
      </c>
      <c r="J70" s="52">
        <f t="shared" si="3"/>
        <v>0.88888888888888884</v>
      </c>
    </row>
    <row r="71" spans="1:10" x14ac:dyDescent="0.25">
      <c r="A71" s="38">
        <v>9</v>
      </c>
      <c r="B71" s="4">
        <v>18</v>
      </c>
      <c r="C71" s="48" t="s">
        <v>63</v>
      </c>
      <c r="D71" s="48" t="s">
        <v>23</v>
      </c>
      <c r="E71" s="41" t="s">
        <v>95</v>
      </c>
      <c r="F71" s="40">
        <v>6</v>
      </c>
      <c r="G71" s="40">
        <v>6</v>
      </c>
      <c r="H71" s="40">
        <v>0</v>
      </c>
      <c r="I71" s="40">
        <v>6</v>
      </c>
      <c r="J71" s="52">
        <f t="shared" si="3"/>
        <v>1</v>
      </c>
    </row>
    <row r="72" spans="1:10" x14ac:dyDescent="0.25">
      <c r="A72" s="38">
        <v>9</v>
      </c>
      <c r="B72" s="4">
        <v>24</v>
      </c>
      <c r="C72" s="48" t="s">
        <v>63</v>
      </c>
      <c r="D72" s="48" t="s">
        <v>23</v>
      </c>
      <c r="E72" s="41" t="s">
        <v>108</v>
      </c>
      <c r="F72" s="40">
        <v>9</v>
      </c>
      <c r="G72" s="40">
        <v>8</v>
      </c>
      <c r="H72" s="40">
        <v>0</v>
      </c>
      <c r="I72" s="40">
        <v>7</v>
      </c>
      <c r="J72" s="52">
        <f t="shared" si="3"/>
        <v>0.875</v>
      </c>
    </row>
    <row r="73" spans="1:10" x14ac:dyDescent="0.25">
      <c r="A73" s="38">
        <v>9</v>
      </c>
      <c r="B73" s="4">
        <v>22</v>
      </c>
      <c r="C73" s="18" t="s">
        <v>63</v>
      </c>
      <c r="D73" s="18" t="s">
        <v>19</v>
      </c>
      <c r="E73" s="13" t="s">
        <v>108</v>
      </c>
      <c r="F73" s="39">
        <v>9</v>
      </c>
      <c r="G73" s="39">
        <v>9</v>
      </c>
      <c r="H73" s="39">
        <v>0</v>
      </c>
      <c r="I73" s="39">
        <v>7</v>
      </c>
      <c r="J73" s="52">
        <f t="shared" si="3"/>
        <v>0.77777777777777779</v>
      </c>
    </row>
  </sheetData>
  <sortState xmlns:xlrd2="http://schemas.microsoft.com/office/spreadsheetml/2017/richdata2" ref="A2:J73">
    <sortCondition ref="C1:C73"/>
  </sortState>
  <dataValidations count="1">
    <dataValidation type="list" allowBlank="1" showInputMessage="1" showErrorMessage="1" sqref="D1 D2:D73" xr:uid="{91A1AEE8-A0B8-4DD9-80D6-05AAC491B750}">
      <formula1>"ФОП,ФПП,РПУ, ПА, ОБП, 5С, Картирование, ДЦ, ЭИЦ, СР, ОЕЕ, SMED, АО, Мет.реш.проблем"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6AD20-2312-4F22-88A0-C07A2ED5C550}">
  <dimension ref="A1:J46"/>
  <sheetViews>
    <sheetView topLeftCell="A22" workbookViewId="0">
      <selection activeCell="J42" sqref="J42"/>
    </sheetView>
  </sheetViews>
  <sheetFormatPr defaultRowHeight="15" x14ac:dyDescent="0.25"/>
  <cols>
    <col min="3" max="3" width="34.7109375" customWidth="1"/>
    <col min="4" max="4" width="22.5703125" customWidth="1"/>
    <col min="5" max="5" width="50.28515625" customWidth="1"/>
  </cols>
  <sheetData>
    <row r="1" spans="1:10" x14ac:dyDescent="0.25">
      <c r="A1" s="38">
        <v>10</v>
      </c>
      <c r="B1" s="4">
        <v>31</v>
      </c>
      <c r="C1" s="48" t="s">
        <v>18</v>
      </c>
      <c r="D1" s="48" t="s">
        <v>20</v>
      </c>
      <c r="E1" s="70" t="s">
        <v>116</v>
      </c>
      <c r="F1" s="40">
        <v>6</v>
      </c>
      <c r="G1" s="40">
        <v>6</v>
      </c>
      <c r="H1" s="40">
        <v>0</v>
      </c>
      <c r="I1" s="40">
        <v>5</v>
      </c>
      <c r="J1" s="10">
        <f t="shared" ref="J1:J46" si="0">IFERROR(I1/G1-H1/G1,"")</f>
        <v>0.83333333333333337</v>
      </c>
    </row>
    <row r="2" spans="1:10" x14ac:dyDescent="0.25">
      <c r="A2" s="38">
        <v>10</v>
      </c>
      <c r="B2" s="4">
        <v>15</v>
      </c>
      <c r="C2" s="48" t="s">
        <v>18</v>
      </c>
      <c r="D2" s="48" t="s">
        <v>22</v>
      </c>
      <c r="E2" s="41" t="s">
        <v>113</v>
      </c>
      <c r="F2" s="40">
        <v>15</v>
      </c>
      <c r="G2" s="40">
        <v>15</v>
      </c>
      <c r="H2" s="40">
        <v>0</v>
      </c>
      <c r="I2" s="40">
        <v>14</v>
      </c>
      <c r="J2" s="10">
        <f t="shared" si="0"/>
        <v>0.93333333333333335</v>
      </c>
    </row>
    <row r="3" spans="1:10" x14ac:dyDescent="0.25">
      <c r="A3" s="38">
        <v>10</v>
      </c>
      <c r="B3" s="4">
        <v>30</v>
      </c>
      <c r="C3" s="18" t="s">
        <v>18</v>
      </c>
      <c r="D3" s="18" t="s">
        <v>22</v>
      </c>
      <c r="E3" s="69" t="s">
        <v>116</v>
      </c>
      <c r="F3" s="39">
        <v>7</v>
      </c>
      <c r="G3" s="39">
        <v>6</v>
      </c>
      <c r="H3" s="39">
        <v>0</v>
      </c>
      <c r="I3" s="39">
        <v>5</v>
      </c>
      <c r="J3" s="10">
        <f t="shared" si="0"/>
        <v>0.83333333333333337</v>
      </c>
    </row>
    <row r="4" spans="1:10" x14ac:dyDescent="0.25">
      <c r="A4" s="38">
        <v>10</v>
      </c>
      <c r="B4" s="4">
        <v>8</v>
      </c>
      <c r="C4" s="18" t="s">
        <v>18</v>
      </c>
      <c r="D4" s="18" t="s">
        <v>16</v>
      </c>
      <c r="E4" s="13" t="s">
        <v>112</v>
      </c>
      <c r="F4" s="39">
        <v>6</v>
      </c>
      <c r="G4" s="39">
        <v>6</v>
      </c>
      <c r="H4" s="39">
        <v>0</v>
      </c>
      <c r="I4" s="39">
        <v>4</v>
      </c>
      <c r="J4" s="43">
        <f t="shared" si="0"/>
        <v>0.66666666666666663</v>
      </c>
    </row>
    <row r="5" spans="1:10" x14ac:dyDescent="0.25">
      <c r="A5" s="38">
        <v>10</v>
      </c>
      <c r="B5" s="4">
        <v>28</v>
      </c>
      <c r="C5" s="5" t="s">
        <v>18</v>
      </c>
      <c r="D5" s="5" t="s">
        <v>16</v>
      </c>
      <c r="E5" s="70" t="s">
        <v>116</v>
      </c>
      <c r="F5" s="46">
        <v>7</v>
      </c>
      <c r="G5" s="46">
        <v>7</v>
      </c>
      <c r="H5" s="46">
        <v>0</v>
      </c>
      <c r="I5" s="46">
        <v>5</v>
      </c>
      <c r="J5" s="9">
        <f t="shared" si="0"/>
        <v>0.7142857142857143</v>
      </c>
    </row>
    <row r="6" spans="1:10" x14ac:dyDescent="0.25">
      <c r="A6" s="38">
        <v>10</v>
      </c>
      <c r="B6" s="4">
        <v>15</v>
      </c>
      <c r="C6" s="7" t="s">
        <v>18</v>
      </c>
      <c r="D6" s="7" t="s">
        <v>23</v>
      </c>
      <c r="E6" s="13" t="s">
        <v>113</v>
      </c>
      <c r="F6" s="47">
        <v>15</v>
      </c>
      <c r="G6" s="47">
        <v>15</v>
      </c>
      <c r="H6" s="47">
        <v>1</v>
      </c>
      <c r="I6" s="47">
        <v>12</v>
      </c>
      <c r="J6" s="9">
        <f t="shared" si="0"/>
        <v>0.73333333333333339</v>
      </c>
    </row>
    <row r="7" spans="1:10" x14ac:dyDescent="0.25">
      <c r="A7" s="38">
        <v>10</v>
      </c>
      <c r="B7" s="4">
        <v>30</v>
      </c>
      <c r="C7" s="48" t="s">
        <v>18</v>
      </c>
      <c r="D7" s="5" t="s">
        <v>23</v>
      </c>
      <c r="E7" s="70" t="s">
        <v>116</v>
      </c>
      <c r="F7" s="40">
        <v>7</v>
      </c>
      <c r="G7" s="40">
        <v>6</v>
      </c>
      <c r="H7" s="40">
        <v>0</v>
      </c>
      <c r="I7" s="40">
        <v>5</v>
      </c>
      <c r="J7" s="10">
        <f t="shared" si="0"/>
        <v>0.83333333333333337</v>
      </c>
    </row>
    <row r="8" spans="1:10" x14ac:dyDescent="0.25">
      <c r="A8" s="38">
        <v>10</v>
      </c>
      <c r="B8" s="4">
        <v>31</v>
      </c>
      <c r="C8" s="18" t="s">
        <v>18</v>
      </c>
      <c r="D8" s="18" t="s">
        <v>19</v>
      </c>
      <c r="E8" s="69" t="s">
        <v>116</v>
      </c>
      <c r="F8" s="39">
        <v>6</v>
      </c>
      <c r="G8" s="39">
        <v>5</v>
      </c>
      <c r="H8" s="39">
        <v>0</v>
      </c>
      <c r="I8" s="39">
        <v>4</v>
      </c>
      <c r="J8" s="10">
        <f t="shared" si="0"/>
        <v>0.8</v>
      </c>
    </row>
    <row r="9" spans="1:10" x14ac:dyDescent="0.25">
      <c r="A9" s="38">
        <v>10</v>
      </c>
      <c r="B9" s="4">
        <v>21</v>
      </c>
      <c r="C9" s="18" t="s">
        <v>18</v>
      </c>
      <c r="D9" s="18" t="s">
        <v>27</v>
      </c>
      <c r="E9" s="39" t="s">
        <v>94</v>
      </c>
      <c r="F9" s="39">
        <v>9</v>
      </c>
      <c r="G9" s="39">
        <v>7</v>
      </c>
      <c r="H9" s="39">
        <v>0</v>
      </c>
      <c r="I9" s="39">
        <v>6</v>
      </c>
      <c r="J9" s="10">
        <f t="shared" si="0"/>
        <v>0.8571428571428571</v>
      </c>
    </row>
    <row r="10" spans="1:10" x14ac:dyDescent="0.25">
      <c r="A10" s="38">
        <v>10</v>
      </c>
      <c r="B10" s="4">
        <v>16</v>
      </c>
      <c r="C10" s="18" t="s">
        <v>58</v>
      </c>
      <c r="D10" s="18" t="s">
        <v>20</v>
      </c>
      <c r="E10" s="13" t="s">
        <v>112</v>
      </c>
      <c r="F10" s="39">
        <v>6</v>
      </c>
      <c r="G10" s="39">
        <v>5</v>
      </c>
      <c r="H10" s="39">
        <v>0</v>
      </c>
      <c r="I10" s="39">
        <v>4</v>
      </c>
      <c r="J10" s="10">
        <f t="shared" si="0"/>
        <v>0.8</v>
      </c>
    </row>
    <row r="11" spans="1:10" x14ac:dyDescent="0.25">
      <c r="A11" s="38">
        <v>10</v>
      </c>
      <c r="B11" s="4">
        <v>13</v>
      </c>
      <c r="C11" s="48" t="s">
        <v>58</v>
      </c>
      <c r="D11" s="48" t="s">
        <v>20</v>
      </c>
      <c r="E11" s="41" t="s">
        <v>114</v>
      </c>
      <c r="F11" s="40">
        <v>4</v>
      </c>
      <c r="G11" s="40">
        <v>4</v>
      </c>
      <c r="H11" s="40">
        <v>0</v>
      </c>
      <c r="I11" s="40">
        <v>3</v>
      </c>
      <c r="J11" s="10">
        <f t="shared" si="0"/>
        <v>0.75</v>
      </c>
    </row>
    <row r="12" spans="1:10" x14ac:dyDescent="0.25">
      <c r="A12" s="38">
        <v>10</v>
      </c>
      <c r="B12" s="4">
        <v>3</v>
      </c>
      <c r="C12" s="5" t="s">
        <v>58</v>
      </c>
      <c r="D12" s="48" t="s">
        <v>22</v>
      </c>
      <c r="E12" s="41" t="s">
        <v>112</v>
      </c>
      <c r="F12" s="46">
        <v>6</v>
      </c>
      <c r="G12" s="46">
        <v>4</v>
      </c>
      <c r="H12" s="46">
        <v>0</v>
      </c>
      <c r="I12" s="46">
        <v>4</v>
      </c>
      <c r="J12" s="10">
        <f t="shared" si="0"/>
        <v>1</v>
      </c>
    </row>
    <row r="13" spans="1:10" x14ac:dyDescent="0.25">
      <c r="A13" s="38">
        <v>10</v>
      </c>
      <c r="B13" s="4">
        <v>3</v>
      </c>
      <c r="C13" s="18" t="s">
        <v>58</v>
      </c>
      <c r="D13" s="18" t="s">
        <v>23</v>
      </c>
      <c r="E13" s="13" t="s">
        <v>112</v>
      </c>
      <c r="F13" s="39">
        <v>6</v>
      </c>
      <c r="G13" s="39">
        <v>4</v>
      </c>
      <c r="H13" s="39">
        <v>0</v>
      </c>
      <c r="I13" s="39">
        <v>4</v>
      </c>
      <c r="J13" s="10">
        <f t="shared" si="0"/>
        <v>1</v>
      </c>
    </row>
    <row r="14" spans="1:10" x14ac:dyDescent="0.25">
      <c r="A14" s="38">
        <v>10</v>
      </c>
      <c r="B14" s="4">
        <v>16</v>
      </c>
      <c r="C14" s="48" t="s">
        <v>58</v>
      </c>
      <c r="D14" s="48" t="s">
        <v>19</v>
      </c>
      <c r="E14" s="41" t="s">
        <v>112</v>
      </c>
      <c r="F14" s="40">
        <v>5</v>
      </c>
      <c r="G14" s="40">
        <v>5</v>
      </c>
      <c r="H14" s="40">
        <v>0</v>
      </c>
      <c r="I14" s="40">
        <v>3</v>
      </c>
      <c r="J14" s="43">
        <f t="shared" si="0"/>
        <v>0.6</v>
      </c>
    </row>
    <row r="15" spans="1:10" x14ac:dyDescent="0.25">
      <c r="A15" s="38">
        <v>10</v>
      </c>
      <c r="B15" s="4">
        <v>13</v>
      </c>
      <c r="C15" s="18" t="s">
        <v>58</v>
      </c>
      <c r="D15" s="18" t="s">
        <v>19</v>
      </c>
      <c r="E15" s="13" t="s">
        <v>114</v>
      </c>
      <c r="F15" s="39">
        <v>4</v>
      </c>
      <c r="G15" s="39">
        <v>4</v>
      </c>
      <c r="H15" s="39">
        <v>0</v>
      </c>
      <c r="I15" s="39">
        <v>3</v>
      </c>
      <c r="J15" s="10">
        <f t="shared" si="0"/>
        <v>0.75</v>
      </c>
    </row>
    <row r="16" spans="1:10" x14ac:dyDescent="0.25">
      <c r="A16" s="38">
        <v>10</v>
      </c>
      <c r="B16" s="4">
        <v>21</v>
      </c>
      <c r="C16" s="18" t="s">
        <v>58</v>
      </c>
      <c r="D16" s="18" t="s">
        <v>27</v>
      </c>
      <c r="E16" s="13" t="s">
        <v>109</v>
      </c>
      <c r="F16" s="39">
        <v>4</v>
      </c>
      <c r="G16" s="39">
        <v>4</v>
      </c>
      <c r="H16" s="39">
        <v>0</v>
      </c>
      <c r="I16" s="39">
        <v>4</v>
      </c>
      <c r="J16" s="10">
        <f t="shared" si="0"/>
        <v>1</v>
      </c>
    </row>
    <row r="17" spans="1:10" x14ac:dyDescent="0.25">
      <c r="A17" s="38">
        <v>10</v>
      </c>
      <c r="B17" s="4">
        <v>3</v>
      </c>
      <c r="C17" s="18" t="s">
        <v>90</v>
      </c>
      <c r="D17" s="18" t="s">
        <v>22</v>
      </c>
      <c r="E17" s="13" t="s">
        <v>109</v>
      </c>
      <c r="F17" s="39">
        <v>4</v>
      </c>
      <c r="G17" s="39">
        <v>3</v>
      </c>
      <c r="H17" s="39">
        <v>0</v>
      </c>
      <c r="I17" s="39">
        <v>3</v>
      </c>
      <c r="J17" s="10">
        <f t="shared" si="0"/>
        <v>1</v>
      </c>
    </row>
    <row r="18" spans="1:10" x14ac:dyDescent="0.25">
      <c r="A18" s="38">
        <v>10</v>
      </c>
      <c r="B18" s="4">
        <v>3</v>
      </c>
      <c r="C18" s="48" t="s">
        <v>90</v>
      </c>
      <c r="D18" s="48" t="s">
        <v>23</v>
      </c>
      <c r="E18" s="41" t="s">
        <v>109</v>
      </c>
      <c r="F18" s="40">
        <v>4</v>
      </c>
      <c r="G18" s="40">
        <v>3</v>
      </c>
      <c r="H18" s="40">
        <v>0</v>
      </c>
      <c r="I18" s="40">
        <v>3</v>
      </c>
      <c r="J18" s="10">
        <f t="shared" si="0"/>
        <v>1</v>
      </c>
    </row>
    <row r="19" spans="1:10" x14ac:dyDescent="0.25">
      <c r="A19" s="38">
        <v>10</v>
      </c>
      <c r="B19" s="4">
        <v>21</v>
      </c>
      <c r="C19" s="18" t="s">
        <v>15</v>
      </c>
      <c r="D19" s="18" t="s">
        <v>84</v>
      </c>
      <c r="E19" s="39" t="s">
        <v>100</v>
      </c>
      <c r="F19" s="39">
        <v>7</v>
      </c>
      <c r="G19" s="39">
        <v>7</v>
      </c>
      <c r="H19" s="39">
        <v>0</v>
      </c>
      <c r="I19" s="39">
        <v>6</v>
      </c>
      <c r="J19" s="10">
        <f t="shared" si="0"/>
        <v>0.8571428571428571</v>
      </c>
    </row>
    <row r="20" spans="1:10" x14ac:dyDescent="0.25">
      <c r="A20" s="38">
        <v>10</v>
      </c>
      <c r="B20" s="4">
        <v>21</v>
      </c>
      <c r="C20" s="48" t="s">
        <v>15</v>
      </c>
      <c r="D20" s="48" t="s">
        <v>28</v>
      </c>
      <c r="E20" s="40" t="s">
        <v>100</v>
      </c>
      <c r="F20" s="40">
        <v>7</v>
      </c>
      <c r="G20" s="40">
        <v>7</v>
      </c>
      <c r="H20" s="40">
        <v>0</v>
      </c>
      <c r="I20" s="40">
        <v>6</v>
      </c>
      <c r="J20" s="10">
        <f t="shared" si="0"/>
        <v>0.8571428571428571</v>
      </c>
    </row>
    <row r="21" spans="1:10" x14ac:dyDescent="0.25">
      <c r="A21" s="38">
        <v>10</v>
      </c>
      <c r="B21" s="4">
        <v>9</v>
      </c>
      <c r="C21" s="18" t="s">
        <v>15</v>
      </c>
      <c r="D21" s="18" t="s">
        <v>22</v>
      </c>
      <c r="E21" s="13" t="s">
        <v>114</v>
      </c>
      <c r="F21" s="39">
        <v>4</v>
      </c>
      <c r="G21" s="39">
        <v>4</v>
      </c>
      <c r="H21" s="39">
        <v>0</v>
      </c>
      <c r="I21" s="39">
        <v>4</v>
      </c>
      <c r="J21" s="10">
        <f t="shared" si="0"/>
        <v>1</v>
      </c>
    </row>
    <row r="22" spans="1:10" x14ac:dyDescent="0.25">
      <c r="A22" s="38">
        <v>10</v>
      </c>
      <c r="B22" s="4">
        <v>3</v>
      </c>
      <c r="C22" s="48" t="s">
        <v>15</v>
      </c>
      <c r="D22" s="48" t="s">
        <v>75</v>
      </c>
      <c r="E22" s="40" t="s">
        <v>106</v>
      </c>
      <c r="F22" s="40">
        <v>6</v>
      </c>
      <c r="G22" s="40">
        <v>6</v>
      </c>
      <c r="H22" s="40">
        <v>0</v>
      </c>
      <c r="I22" s="40">
        <v>6</v>
      </c>
      <c r="J22" s="10">
        <f t="shared" si="0"/>
        <v>1</v>
      </c>
    </row>
    <row r="23" spans="1:10" x14ac:dyDescent="0.25">
      <c r="A23" s="38">
        <v>10</v>
      </c>
      <c r="B23" s="4">
        <v>9</v>
      </c>
      <c r="C23" s="48" t="s">
        <v>15</v>
      </c>
      <c r="D23" s="48" t="s">
        <v>23</v>
      </c>
      <c r="E23" s="41" t="s">
        <v>114</v>
      </c>
      <c r="F23" s="40">
        <v>4</v>
      </c>
      <c r="G23" s="40">
        <v>4</v>
      </c>
      <c r="H23" s="40">
        <v>0</v>
      </c>
      <c r="I23" s="40">
        <v>4</v>
      </c>
      <c r="J23" s="10">
        <f t="shared" si="0"/>
        <v>1</v>
      </c>
    </row>
    <row r="24" spans="1:10" x14ac:dyDescent="0.25">
      <c r="A24" s="38">
        <v>10</v>
      </c>
      <c r="B24" s="4">
        <v>15</v>
      </c>
      <c r="C24" s="48" t="s">
        <v>15</v>
      </c>
      <c r="D24" s="48" t="s">
        <v>27</v>
      </c>
      <c r="E24" s="40" t="s">
        <v>100</v>
      </c>
      <c r="F24" s="40">
        <v>10</v>
      </c>
      <c r="G24" s="40">
        <v>9</v>
      </c>
      <c r="H24" s="40">
        <v>0</v>
      </c>
      <c r="I24" s="40">
        <v>7</v>
      </c>
      <c r="J24" s="10">
        <f t="shared" si="0"/>
        <v>0.77777777777777779</v>
      </c>
    </row>
    <row r="25" spans="1:10" x14ac:dyDescent="0.25">
      <c r="A25" s="38">
        <v>10</v>
      </c>
      <c r="B25" s="4">
        <v>16</v>
      </c>
      <c r="C25" s="18" t="s">
        <v>25</v>
      </c>
      <c r="D25" s="18" t="s">
        <v>20</v>
      </c>
      <c r="E25" s="13" t="s">
        <v>110</v>
      </c>
      <c r="F25" s="39">
        <v>8</v>
      </c>
      <c r="G25" s="39">
        <v>6</v>
      </c>
      <c r="H25" s="39">
        <v>0</v>
      </c>
      <c r="I25" s="39">
        <v>6</v>
      </c>
      <c r="J25" s="10">
        <f t="shared" si="0"/>
        <v>1</v>
      </c>
    </row>
    <row r="26" spans="1:10" x14ac:dyDescent="0.25">
      <c r="A26" s="38">
        <v>10</v>
      </c>
      <c r="B26" s="4">
        <v>21</v>
      </c>
      <c r="C26" s="5" t="s">
        <v>25</v>
      </c>
      <c r="D26" s="48" t="s">
        <v>20</v>
      </c>
      <c r="E26" s="40" t="s">
        <v>111</v>
      </c>
      <c r="F26" s="46">
        <v>13</v>
      </c>
      <c r="G26" s="46">
        <v>10</v>
      </c>
      <c r="H26" s="46">
        <v>0</v>
      </c>
      <c r="I26" s="46">
        <v>8</v>
      </c>
      <c r="J26" s="9">
        <f t="shared" si="0"/>
        <v>0.8</v>
      </c>
    </row>
    <row r="27" spans="1:10" x14ac:dyDescent="0.25">
      <c r="A27" s="38">
        <v>10</v>
      </c>
      <c r="B27" s="4">
        <v>9</v>
      </c>
      <c r="C27" s="5" t="s">
        <v>25</v>
      </c>
      <c r="D27" s="5" t="s">
        <v>22</v>
      </c>
      <c r="E27" s="41" t="s">
        <v>110</v>
      </c>
      <c r="F27" s="46">
        <v>8</v>
      </c>
      <c r="G27" s="46">
        <v>8</v>
      </c>
      <c r="H27" s="46">
        <v>0</v>
      </c>
      <c r="I27" s="46">
        <v>8</v>
      </c>
      <c r="J27" s="9">
        <f t="shared" si="0"/>
        <v>1</v>
      </c>
    </row>
    <row r="28" spans="1:10" x14ac:dyDescent="0.25">
      <c r="A28" s="38">
        <v>10</v>
      </c>
      <c r="B28" s="4">
        <v>28</v>
      </c>
      <c r="C28" s="7" t="s">
        <v>25</v>
      </c>
      <c r="D28" s="7" t="s">
        <v>22</v>
      </c>
      <c r="E28" s="47" t="s">
        <v>111</v>
      </c>
      <c r="F28" s="47">
        <v>11</v>
      </c>
      <c r="G28" s="47">
        <v>8</v>
      </c>
      <c r="H28" s="47">
        <v>0</v>
      </c>
      <c r="I28" s="47">
        <v>7</v>
      </c>
      <c r="J28" s="9">
        <f t="shared" si="0"/>
        <v>0.875</v>
      </c>
    </row>
    <row r="29" spans="1:10" x14ac:dyDescent="0.25">
      <c r="A29" s="38">
        <v>10</v>
      </c>
      <c r="B29" s="4">
        <v>2</v>
      </c>
      <c r="C29" s="7" t="s">
        <v>25</v>
      </c>
      <c r="D29" s="7" t="s">
        <v>16</v>
      </c>
      <c r="E29" s="8" t="s">
        <v>110</v>
      </c>
      <c r="F29" s="47">
        <v>11</v>
      </c>
      <c r="G29" s="47">
        <v>8</v>
      </c>
      <c r="H29" s="47">
        <v>0</v>
      </c>
      <c r="I29" s="47">
        <v>7</v>
      </c>
      <c r="J29" s="9">
        <f t="shared" si="0"/>
        <v>0.875</v>
      </c>
    </row>
    <row r="30" spans="1:10" x14ac:dyDescent="0.25">
      <c r="A30" s="38">
        <v>10</v>
      </c>
      <c r="B30" s="4">
        <v>14</v>
      </c>
      <c r="C30" s="5" t="s">
        <v>25</v>
      </c>
      <c r="D30" s="48" t="s">
        <v>16</v>
      </c>
      <c r="E30" s="46" t="s">
        <v>111</v>
      </c>
      <c r="F30" s="46">
        <v>13</v>
      </c>
      <c r="G30" s="46">
        <v>10</v>
      </c>
      <c r="H30" s="46">
        <v>0</v>
      </c>
      <c r="I30" s="46">
        <v>8</v>
      </c>
      <c r="J30" s="9">
        <f t="shared" si="0"/>
        <v>0.8</v>
      </c>
    </row>
    <row r="31" spans="1:10" x14ac:dyDescent="0.25">
      <c r="A31" s="38">
        <v>10</v>
      </c>
      <c r="B31" s="4">
        <v>3</v>
      </c>
      <c r="C31" s="7" t="s">
        <v>25</v>
      </c>
      <c r="D31" s="7" t="s">
        <v>16</v>
      </c>
      <c r="E31" s="8" t="s">
        <v>113</v>
      </c>
      <c r="F31" s="47">
        <v>16</v>
      </c>
      <c r="G31" s="47">
        <v>16</v>
      </c>
      <c r="H31" s="47">
        <v>0</v>
      </c>
      <c r="I31" s="47">
        <v>14</v>
      </c>
      <c r="J31" s="9">
        <f t="shared" si="0"/>
        <v>0.875</v>
      </c>
    </row>
    <row r="32" spans="1:10" x14ac:dyDescent="0.25">
      <c r="A32" s="38">
        <v>10</v>
      </c>
      <c r="B32" s="4">
        <v>31</v>
      </c>
      <c r="C32" s="7" t="s">
        <v>25</v>
      </c>
      <c r="D32" s="7" t="s">
        <v>16</v>
      </c>
      <c r="E32" s="72" t="s">
        <v>115</v>
      </c>
      <c r="F32" s="39">
        <v>8</v>
      </c>
      <c r="G32" s="39">
        <v>8</v>
      </c>
      <c r="H32" s="39">
        <v>0</v>
      </c>
      <c r="I32" s="39">
        <v>7</v>
      </c>
      <c r="J32" s="10">
        <f t="shared" si="0"/>
        <v>0.875</v>
      </c>
    </row>
    <row r="33" spans="1:10" x14ac:dyDescent="0.25">
      <c r="A33" s="38">
        <v>10</v>
      </c>
      <c r="B33" s="4">
        <v>9</v>
      </c>
      <c r="C33" s="7" t="s">
        <v>25</v>
      </c>
      <c r="D33" s="7" t="s">
        <v>23</v>
      </c>
      <c r="E33" s="13" t="s">
        <v>110</v>
      </c>
      <c r="F33" s="47">
        <v>8</v>
      </c>
      <c r="G33" s="47">
        <v>8</v>
      </c>
      <c r="H33" s="47">
        <v>0</v>
      </c>
      <c r="I33" s="47">
        <v>7</v>
      </c>
      <c r="J33" s="9">
        <f t="shared" si="0"/>
        <v>0.875</v>
      </c>
    </row>
    <row r="34" spans="1:10" x14ac:dyDescent="0.25">
      <c r="A34" s="38">
        <v>10</v>
      </c>
      <c r="B34" s="4">
        <v>28</v>
      </c>
      <c r="C34" s="5" t="s">
        <v>25</v>
      </c>
      <c r="D34" s="5" t="s">
        <v>23</v>
      </c>
      <c r="E34" s="40" t="s">
        <v>111</v>
      </c>
      <c r="F34" s="46">
        <v>11</v>
      </c>
      <c r="G34" s="46">
        <v>8</v>
      </c>
      <c r="H34" s="46">
        <v>0</v>
      </c>
      <c r="I34" s="46">
        <v>7</v>
      </c>
      <c r="J34" s="9">
        <f t="shared" si="0"/>
        <v>0.875</v>
      </c>
    </row>
    <row r="35" spans="1:10" x14ac:dyDescent="0.25">
      <c r="A35" s="38">
        <v>10</v>
      </c>
      <c r="B35" s="4">
        <v>16</v>
      </c>
      <c r="C35" s="5" t="s">
        <v>25</v>
      </c>
      <c r="D35" s="5" t="s">
        <v>19</v>
      </c>
      <c r="E35" s="41" t="s">
        <v>110</v>
      </c>
      <c r="F35" s="46">
        <v>6</v>
      </c>
      <c r="G35" s="46">
        <v>6</v>
      </c>
      <c r="H35" s="46">
        <v>0</v>
      </c>
      <c r="I35" s="46">
        <v>5</v>
      </c>
      <c r="J35" s="9">
        <f t="shared" si="0"/>
        <v>0.83333333333333337</v>
      </c>
    </row>
    <row r="36" spans="1:10" x14ac:dyDescent="0.25">
      <c r="A36" s="38">
        <v>10</v>
      </c>
      <c r="B36" s="4">
        <v>21</v>
      </c>
      <c r="C36" s="18" t="s">
        <v>25</v>
      </c>
      <c r="D36" s="7" t="s">
        <v>19</v>
      </c>
      <c r="E36" s="39" t="s">
        <v>111</v>
      </c>
      <c r="F36" s="39">
        <v>13</v>
      </c>
      <c r="G36" s="39">
        <v>10</v>
      </c>
      <c r="H36" s="39">
        <v>0</v>
      </c>
      <c r="I36" s="39">
        <v>8</v>
      </c>
      <c r="J36" s="10">
        <f t="shared" si="0"/>
        <v>0.8</v>
      </c>
    </row>
    <row r="37" spans="1:10" x14ac:dyDescent="0.25">
      <c r="A37" s="38">
        <v>10</v>
      </c>
      <c r="B37" s="4">
        <v>1</v>
      </c>
      <c r="C37" s="18" t="s">
        <v>25</v>
      </c>
      <c r="D37" s="18" t="s">
        <v>27</v>
      </c>
      <c r="E37" s="39" t="s">
        <v>106</v>
      </c>
      <c r="F37" s="39">
        <v>6</v>
      </c>
      <c r="G37" s="39">
        <v>6</v>
      </c>
      <c r="H37" s="39">
        <v>0</v>
      </c>
      <c r="I37" s="39">
        <v>5</v>
      </c>
      <c r="J37" s="10">
        <f t="shared" si="0"/>
        <v>0.83333333333333337</v>
      </c>
    </row>
    <row r="38" spans="1:10" x14ac:dyDescent="0.25">
      <c r="A38" s="38">
        <v>10</v>
      </c>
      <c r="B38" s="4">
        <v>8</v>
      </c>
      <c r="C38" s="18" t="s">
        <v>45</v>
      </c>
      <c r="D38" s="68" t="s">
        <v>20</v>
      </c>
      <c r="E38" s="13" t="s">
        <v>113</v>
      </c>
      <c r="F38" s="39">
        <v>15</v>
      </c>
      <c r="G38" s="39">
        <v>14</v>
      </c>
      <c r="H38" s="39">
        <v>0</v>
      </c>
      <c r="I38" s="39">
        <v>13</v>
      </c>
      <c r="J38" s="10">
        <f t="shared" si="0"/>
        <v>0.9285714285714286</v>
      </c>
    </row>
    <row r="39" spans="1:10" x14ac:dyDescent="0.25">
      <c r="A39" s="38">
        <v>10</v>
      </c>
      <c r="B39" s="4">
        <v>23</v>
      </c>
      <c r="C39" s="48" t="s">
        <v>45</v>
      </c>
      <c r="D39" s="67" t="s">
        <v>75</v>
      </c>
      <c r="E39" s="41" t="s">
        <v>109</v>
      </c>
      <c r="F39" s="40">
        <v>4</v>
      </c>
      <c r="G39" s="40">
        <v>4</v>
      </c>
      <c r="H39" s="40">
        <v>0</v>
      </c>
      <c r="I39" s="40">
        <v>4</v>
      </c>
      <c r="J39" s="10">
        <f t="shared" si="0"/>
        <v>1</v>
      </c>
    </row>
    <row r="40" spans="1:10" x14ac:dyDescent="0.25">
      <c r="A40" s="38">
        <v>10</v>
      </c>
      <c r="B40" s="4">
        <v>24</v>
      </c>
      <c r="C40" s="48" t="s">
        <v>45</v>
      </c>
      <c r="D40" s="67" t="s">
        <v>75</v>
      </c>
      <c r="E40" s="40" t="s">
        <v>101</v>
      </c>
      <c r="F40" s="40">
        <v>9</v>
      </c>
      <c r="G40" s="40">
        <v>9</v>
      </c>
      <c r="H40" s="40">
        <v>0</v>
      </c>
      <c r="I40" s="40">
        <v>6</v>
      </c>
      <c r="J40" s="43">
        <f t="shared" si="0"/>
        <v>0.66666666666666663</v>
      </c>
    </row>
    <row r="41" spans="1:10" x14ac:dyDescent="0.25">
      <c r="A41" s="38">
        <v>10</v>
      </c>
      <c r="B41" s="4">
        <v>8</v>
      </c>
      <c r="C41" s="48" t="s">
        <v>45</v>
      </c>
      <c r="D41" s="67" t="s">
        <v>19</v>
      </c>
      <c r="E41" s="41" t="s">
        <v>113</v>
      </c>
      <c r="F41" s="40">
        <v>14</v>
      </c>
      <c r="G41" s="40">
        <v>14</v>
      </c>
      <c r="H41" s="40">
        <v>0</v>
      </c>
      <c r="I41" s="40">
        <v>8</v>
      </c>
      <c r="J41" s="43">
        <f t="shared" si="0"/>
        <v>0.5714285714285714</v>
      </c>
    </row>
    <row r="42" spans="1:10" x14ac:dyDescent="0.25">
      <c r="A42" s="38">
        <v>10</v>
      </c>
      <c r="B42" s="4">
        <v>10</v>
      </c>
      <c r="C42" s="18" t="s">
        <v>45</v>
      </c>
      <c r="D42" s="68" t="s">
        <v>27</v>
      </c>
      <c r="E42" s="13" t="s">
        <v>92</v>
      </c>
      <c r="F42" s="39">
        <v>4</v>
      </c>
      <c r="G42" s="39">
        <v>4</v>
      </c>
      <c r="H42" s="39">
        <v>0</v>
      </c>
      <c r="I42" s="39">
        <v>3</v>
      </c>
      <c r="J42" s="10">
        <f t="shared" si="0"/>
        <v>0.75</v>
      </c>
    </row>
    <row r="43" spans="1:10" x14ac:dyDescent="0.25">
      <c r="A43" s="38">
        <v>10</v>
      </c>
      <c r="B43" s="4">
        <v>20</v>
      </c>
      <c r="C43" s="48" t="s">
        <v>45</v>
      </c>
      <c r="D43" s="67" t="s">
        <v>27</v>
      </c>
      <c r="E43" s="40" t="s">
        <v>104</v>
      </c>
      <c r="F43" s="40">
        <v>5</v>
      </c>
      <c r="G43" s="40">
        <v>5</v>
      </c>
      <c r="H43" s="40">
        <v>0</v>
      </c>
      <c r="I43" s="40">
        <v>4</v>
      </c>
      <c r="J43" s="10">
        <f t="shared" si="0"/>
        <v>0.8</v>
      </c>
    </row>
    <row r="44" spans="1:10" x14ac:dyDescent="0.25">
      <c r="A44" s="38">
        <v>10</v>
      </c>
      <c r="B44" s="4">
        <v>3</v>
      </c>
      <c r="C44" s="48" t="s">
        <v>63</v>
      </c>
      <c r="D44" s="67" t="s">
        <v>16</v>
      </c>
      <c r="E44" s="41" t="s">
        <v>114</v>
      </c>
      <c r="F44" s="40">
        <v>5</v>
      </c>
      <c r="G44" s="40">
        <v>5</v>
      </c>
      <c r="H44" s="40">
        <v>1</v>
      </c>
      <c r="I44" s="40">
        <v>4</v>
      </c>
      <c r="J44" s="43">
        <f t="shared" si="0"/>
        <v>0.60000000000000009</v>
      </c>
    </row>
    <row r="45" spans="1:10" x14ac:dyDescent="0.25">
      <c r="A45" s="38">
        <v>10</v>
      </c>
      <c r="B45" s="4">
        <v>7</v>
      </c>
      <c r="C45" s="48" t="s">
        <v>119</v>
      </c>
      <c r="D45" s="67" t="s">
        <v>20</v>
      </c>
      <c r="E45" s="41" t="s">
        <v>109</v>
      </c>
      <c r="F45" s="40">
        <v>4</v>
      </c>
      <c r="G45" s="40">
        <v>4</v>
      </c>
      <c r="H45" s="40">
        <v>0</v>
      </c>
      <c r="I45" s="40">
        <v>4</v>
      </c>
      <c r="J45" s="10">
        <f t="shared" si="0"/>
        <v>1</v>
      </c>
    </row>
    <row r="46" spans="1:10" x14ac:dyDescent="0.25">
      <c r="A46" s="38">
        <v>10</v>
      </c>
      <c r="B46" s="4">
        <v>7</v>
      </c>
      <c r="C46" s="48" t="s">
        <v>119</v>
      </c>
      <c r="D46" s="68" t="s">
        <v>19</v>
      </c>
      <c r="E46" s="13" t="s">
        <v>109</v>
      </c>
      <c r="F46" s="39">
        <v>4</v>
      </c>
      <c r="G46" s="39">
        <v>4</v>
      </c>
      <c r="H46" s="39">
        <v>0</v>
      </c>
      <c r="I46" s="39">
        <v>4</v>
      </c>
      <c r="J46" s="10">
        <f t="shared" si="0"/>
        <v>1</v>
      </c>
    </row>
  </sheetData>
  <sortState xmlns:xlrd2="http://schemas.microsoft.com/office/spreadsheetml/2017/richdata2" ref="A1:J46">
    <sortCondition ref="C1:C46"/>
  </sortState>
  <dataValidations count="1">
    <dataValidation type="list" allowBlank="1" showInputMessage="1" showErrorMessage="1" sqref="D1:D46" xr:uid="{E1F6DFC5-197A-4DC5-AF2A-3524DDD62582}">
      <formula1>"ФОП,ФПП,РПУ, ПА, ОБП, 5С, Картирование, ДЦ, ЭИЦ, СР, ОЕЕ, SMED, АО, Мет.реш.проблем"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B9E23-1BB8-479C-AD01-0B3F4B74341C}">
  <dimension ref="A1:J34"/>
  <sheetViews>
    <sheetView workbookViewId="0">
      <selection activeCell="J31" sqref="J31"/>
    </sheetView>
  </sheetViews>
  <sheetFormatPr defaultRowHeight="15" x14ac:dyDescent="0.25"/>
  <cols>
    <col min="3" max="3" width="31.42578125" customWidth="1"/>
    <col min="4" max="4" width="18.28515625" customWidth="1"/>
    <col min="5" max="5" width="27.85546875" customWidth="1"/>
  </cols>
  <sheetData>
    <row r="1" spans="1:10" x14ac:dyDescent="0.25">
      <c r="A1" s="38">
        <v>11</v>
      </c>
      <c r="B1" s="4">
        <v>6</v>
      </c>
      <c r="C1" s="18" t="s">
        <v>18</v>
      </c>
      <c r="D1" s="68" t="s">
        <v>75</v>
      </c>
      <c r="E1" s="39" t="s">
        <v>94</v>
      </c>
      <c r="F1" s="39">
        <v>8</v>
      </c>
      <c r="G1" s="39">
        <v>6</v>
      </c>
      <c r="H1" s="39">
        <v>0</v>
      </c>
      <c r="I1" s="39">
        <v>6</v>
      </c>
      <c r="J1" s="52">
        <f t="shared" ref="J1:J34" si="0">IFERROR(I1/G1-H1/G1,"")</f>
        <v>1</v>
      </c>
    </row>
    <row r="2" spans="1:10" x14ac:dyDescent="0.25">
      <c r="A2" s="38">
        <v>11</v>
      </c>
      <c r="B2" s="4">
        <v>26</v>
      </c>
      <c r="C2" s="48" t="s">
        <v>18</v>
      </c>
      <c r="D2" s="67" t="s">
        <v>27</v>
      </c>
      <c r="E2" s="70" t="s">
        <v>116</v>
      </c>
      <c r="F2" s="40">
        <v>7</v>
      </c>
      <c r="G2" s="40">
        <v>7</v>
      </c>
      <c r="H2" s="40">
        <v>0</v>
      </c>
      <c r="I2" s="40">
        <v>5</v>
      </c>
      <c r="J2" s="52">
        <f t="shared" si="0"/>
        <v>0.7142857142857143</v>
      </c>
    </row>
    <row r="3" spans="1:10" x14ac:dyDescent="0.25">
      <c r="A3" s="38">
        <v>11</v>
      </c>
      <c r="B3" s="4">
        <v>1</v>
      </c>
      <c r="C3" s="18" t="s">
        <v>18</v>
      </c>
      <c r="D3" s="68" t="s">
        <v>16</v>
      </c>
      <c r="E3" s="69" t="s">
        <v>118</v>
      </c>
      <c r="F3" s="39">
        <v>6</v>
      </c>
      <c r="G3" s="39">
        <v>6</v>
      </c>
      <c r="H3" s="39">
        <v>0</v>
      </c>
      <c r="I3" s="39">
        <v>5</v>
      </c>
      <c r="J3" s="52">
        <f t="shared" si="0"/>
        <v>0.83333333333333337</v>
      </c>
    </row>
    <row r="4" spans="1:10" x14ac:dyDescent="0.25">
      <c r="A4" s="38">
        <v>11</v>
      </c>
      <c r="B4" s="4">
        <v>7</v>
      </c>
      <c r="C4" s="48" t="s">
        <v>18</v>
      </c>
      <c r="D4" s="67" t="s">
        <v>19</v>
      </c>
      <c r="E4" s="70" t="s">
        <v>118</v>
      </c>
      <c r="F4" s="40">
        <v>6</v>
      </c>
      <c r="G4" s="40">
        <v>6</v>
      </c>
      <c r="H4" s="40">
        <v>0</v>
      </c>
      <c r="I4" s="40">
        <v>5</v>
      </c>
      <c r="J4" s="52">
        <f t="shared" si="0"/>
        <v>0.83333333333333337</v>
      </c>
    </row>
    <row r="5" spans="1:10" x14ac:dyDescent="0.25">
      <c r="A5" s="38">
        <v>11</v>
      </c>
      <c r="B5" s="4">
        <v>7</v>
      </c>
      <c r="C5" s="18" t="s">
        <v>18</v>
      </c>
      <c r="D5" s="68" t="s">
        <v>20</v>
      </c>
      <c r="E5" s="69" t="s">
        <v>118</v>
      </c>
      <c r="F5" s="39">
        <v>6</v>
      </c>
      <c r="G5" s="39">
        <v>6</v>
      </c>
      <c r="H5" s="39">
        <v>0</v>
      </c>
      <c r="I5" s="39">
        <v>5</v>
      </c>
      <c r="J5" s="52">
        <f t="shared" si="0"/>
        <v>0.83333333333333337</v>
      </c>
    </row>
    <row r="6" spans="1:10" x14ac:dyDescent="0.25">
      <c r="A6" s="38">
        <v>11</v>
      </c>
      <c r="B6" s="4">
        <v>10</v>
      </c>
      <c r="C6" s="48" t="s">
        <v>18</v>
      </c>
      <c r="D6" s="67" t="s">
        <v>22</v>
      </c>
      <c r="E6" s="70" t="s">
        <v>118</v>
      </c>
      <c r="F6" s="40">
        <v>6</v>
      </c>
      <c r="G6" s="40">
        <v>5</v>
      </c>
      <c r="H6" s="40">
        <v>0</v>
      </c>
      <c r="I6" s="40">
        <v>5</v>
      </c>
      <c r="J6" s="52">
        <f t="shared" si="0"/>
        <v>1</v>
      </c>
    </row>
    <row r="7" spans="1:10" x14ac:dyDescent="0.25">
      <c r="A7" s="38">
        <v>11</v>
      </c>
      <c r="B7" s="4">
        <v>10</v>
      </c>
      <c r="C7" s="18" t="s">
        <v>18</v>
      </c>
      <c r="D7" s="68" t="s">
        <v>23</v>
      </c>
      <c r="E7" s="69" t="s">
        <v>118</v>
      </c>
      <c r="F7" s="39">
        <v>6</v>
      </c>
      <c r="G7" s="39">
        <v>6</v>
      </c>
      <c r="H7" s="39">
        <v>0</v>
      </c>
      <c r="I7" s="39">
        <v>5</v>
      </c>
      <c r="J7" s="52">
        <f t="shared" si="0"/>
        <v>0.83333333333333337</v>
      </c>
    </row>
    <row r="8" spans="1:10" x14ac:dyDescent="0.25">
      <c r="A8" s="38">
        <v>11</v>
      </c>
      <c r="B8" s="4">
        <v>21</v>
      </c>
      <c r="C8" s="48" t="s">
        <v>18</v>
      </c>
      <c r="D8" s="67" t="s">
        <v>27</v>
      </c>
      <c r="E8" s="70" t="s">
        <v>118</v>
      </c>
      <c r="F8" s="40">
        <v>6</v>
      </c>
      <c r="G8" s="40">
        <v>6</v>
      </c>
      <c r="H8" s="40">
        <v>0</v>
      </c>
      <c r="I8" s="40">
        <v>5</v>
      </c>
      <c r="J8" s="52">
        <f t="shared" si="0"/>
        <v>0.83333333333333337</v>
      </c>
    </row>
    <row r="9" spans="1:10" x14ac:dyDescent="0.25">
      <c r="A9" s="38">
        <v>11</v>
      </c>
      <c r="B9" s="4">
        <v>6</v>
      </c>
      <c r="C9" s="48" t="s">
        <v>58</v>
      </c>
      <c r="D9" s="67" t="s">
        <v>75</v>
      </c>
      <c r="E9" s="41" t="s">
        <v>102</v>
      </c>
      <c r="F9" s="40">
        <v>5</v>
      </c>
      <c r="G9" s="40">
        <v>5</v>
      </c>
      <c r="H9" s="40">
        <v>0</v>
      </c>
      <c r="I9" s="40">
        <v>4</v>
      </c>
      <c r="J9" s="52">
        <f t="shared" si="0"/>
        <v>0.8</v>
      </c>
    </row>
    <row r="10" spans="1:10" x14ac:dyDescent="0.25">
      <c r="A10" s="38">
        <v>11</v>
      </c>
      <c r="B10" s="4">
        <v>12</v>
      </c>
      <c r="C10" s="18" t="s">
        <v>58</v>
      </c>
      <c r="D10" s="68" t="s">
        <v>27</v>
      </c>
      <c r="E10" s="13" t="s">
        <v>102</v>
      </c>
      <c r="F10" s="39">
        <v>5</v>
      </c>
      <c r="G10" s="39">
        <v>5</v>
      </c>
      <c r="H10" s="39">
        <v>0</v>
      </c>
      <c r="I10" s="39">
        <v>5</v>
      </c>
      <c r="J10" s="52">
        <f t="shared" si="0"/>
        <v>1</v>
      </c>
    </row>
    <row r="11" spans="1:10" x14ac:dyDescent="0.25">
      <c r="A11" s="38">
        <v>11</v>
      </c>
      <c r="B11" s="4">
        <v>18</v>
      </c>
      <c r="C11" s="48" t="s">
        <v>15</v>
      </c>
      <c r="D11" s="67" t="s">
        <v>27</v>
      </c>
      <c r="E11" s="41" t="s">
        <v>95</v>
      </c>
      <c r="F11" s="40">
        <v>5</v>
      </c>
      <c r="G11" s="40">
        <v>4</v>
      </c>
      <c r="H11" s="40">
        <v>0</v>
      </c>
      <c r="I11" s="40">
        <v>3</v>
      </c>
      <c r="J11" s="52">
        <f t="shared" si="0"/>
        <v>0.75</v>
      </c>
    </row>
    <row r="12" spans="1:10" x14ac:dyDescent="0.25">
      <c r="A12" s="38">
        <v>11</v>
      </c>
      <c r="B12" s="4">
        <v>10</v>
      </c>
      <c r="C12" s="18" t="s">
        <v>15</v>
      </c>
      <c r="D12" s="68" t="s">
        <v>28</v>
      </c>
      <c r="E12" s="39" t="s">
        <v>104</v>
      </c>
      <c r="F12" s="39">
        <v>6</v>
      </c>
      <c r="G12" s="39">
        <v>6</v>
      </c>
      <c r="H12" s="39">
        <v>0</v>
      </c>
      <c r="I12" s="39">
        <v>6</v>
      </c>
      <c r="J12" s="52">
        <f t="shared" si="0"/>
        <v>1</v>
      </c>
    </row>
    <row r="13" spans="1:10" x14ac:dyDescent="0.25">
      <c r="A13" s="38">
        <v>11</v>
      </c>
      <c r="B13" s="4">
        <v>10</v>
      </c>
      <c r="C13" s="48" t="s">
        <v>15</v>
      </c>
      <c r="D13" s="67" t="s">
        <v>84</v>
      </c>
      <c r="E13" s="40" t="s">
        <v>104</v>
      </c>
      <c r="F13" s="40">
        <v>6</v>
      </c>
      <c r="G13" s="40">
        <v>6</v>
      </c>
      <c r="H13" s="40">
        <v>0</v>
      </c>
      <c r="I13" s="40">
        <v>5</v>
      </c>
      <c r="J13" s="52">
        <f t="shared" si="0"/>
        <v>0.83333333333333337</v>
      </c>
    </row>
    <row r="14" spans="1:10" x14ac:dyDescent="0.25">
      <c r="A14" s="38">
        <v>11</v>
      </c>
      <c r="B14" s="4">
        <v>21</v>
      </c>
      <c r="C14" s="18" t="s">
        <v>15</v>
      </c>
      <c r="D14" s="68" t="s">
        <v>27</v>
      </c>
      <c r="E14" s="13" t="s">
        <v>99</v>
      </c>
      <c r="F14" s="39">
        <v>7</v>
      </c>
      <c r="G14" s="39">
        <v>6</v>
      </c>
      <c r="H14" s="39">
        <v>0</v>
      </c>
      <c r="I14" s="39">
        <v>5</v>
      </c>
      <c r="J14" s="52">
        <f t="shared" si="0"/>
        <v>0.83333333333333337</v>
      </c>
    </row>
    <row r="15" spans="1:10" x14ac:dyDescent="0.25">
      <c r="A15" s="38">
        <v>11</v>
      </c>
      <c r="B15" s="4">
        <v>1</v>
      </c>
      <c r="C15" s="48" t="s">
        <v>15</v>
      </c>
      <c r="D15" s="67" t="s">
        <v>16</v>
      </c>
      <c r="E15" s="70" t="s">
        <v>117</v>
      </c>
      <c r="F15" s="40">
        <v>5</v>
      </c>
      <c r="G15" s="40">
        <v>4</v>
      </c>
      <c r="H15" s="40">
        <v>0</v>
      </c>
      <c r="I15" s="40">
        <v>4</v>
      </c>
      <c r="J15" s="52">
        <f t="shared" si="0"/>
        <v>1</v>
      </c>
    </row>
    <row r="16" spans="1:10" x14ac:dyDescent="0.25">
      <c r="A16" s="38">
        <v>11</v>
      </c>
      <c r="B16" s="4">
        <v>6</v>
      </c>
      <c r="C16" s="18" t="s">
        <v>15</v>
      </c>
      <c r="D16" s="68" t="s">
        <v>19</v>
      </c>
      <c r="E16" s="69" t="s">
        <v>117</v>
      </c>
      <c r="F16" s="39">
        <v>5</v>
      </c>
      <c r="G16" s="39">
        <v>4</v>
      </c>
      <c r="H16" s="39">
        <v>0</v>
      </c>
      <c r="I16" s="39">
        <v>4</v>
      </c>
      <c r="J16" s="52">
        <f t="shared" si="0"/>
        <v>1</v>
      </c>
    </row>
    <row r="17" spans="1:10" x14ac:dyDescent="0.25">
      <c r="A17" s="38">
        <v>11</v>
      </c>
      <c r="B17" s="4">
        <v>6</v>
      </c>
      <c r="C17" s="48" t="s">
        <v>15</v>
      </c>
      <c r="D17" s="67" t="s">
        <v>20</v>
      </c>
      <c r="E17" s="70" t="s">
        <v>117</v>
      </c>
      <c r="F17" s="40">
        <v>5</v>
      </c>
      <c r="G17" s="40">
        <v>4</v>
      </c>
      <c r="H17" s="40">
        <v>0</v>
      </c>
      <c r="I17" s="40">
        <v>4</v>
      </c>
      <c r="J17" s="52">
        <f t="shared" si="0"/>
        <v>1</v>
      </c>
    </row>
    <row r="18" spans="1:10" x14ac:dyDescent="0.25">
      <c r="A18" s="38">
        <v>11</v>
      </c>
      <c r="B18" s="4">
        <v>7</v>
      </c>
      <c r="C18" s="18" t="s">
        <v>15</v>
      </c>
      <c r="D18" s="68" t="s">
        <v>22</v>
      </c>
      <c r="E18" s="69" t="s">
        <v>117</v>
      </c>
      <c r="F18" s="39">
        <v>5</v>
      </c>
      <c r="G18" s="39">
        <v>4</v>
      </c>
      <c r="H18" s="39">
        <v>0</v>
      </c>
      <c r="I18" s="39">
        <v>4</v>
      </c>
      <c r="J18" s="52">
        <f t="shared" si="0"/>
        <v>1</v>
      </c>
    </row>
    <row r="19" spans="1:10" x14ac:dyDescent="0.25">
      <c r="A19" s="38">
        <v>11</v>
      </c>
      <c r="B19" s="4">
        <v>7</v>
      </c>
      <c r="C19" s="48" t="s">
        <v>15</v>
      </c>
      <c r="D19" s="67" t="s">
        <v>23</v>
      </c>
      <c r="E19" s="70" t="s">
        <v>117</v>
      </c>
      <c r="F19" s="40">
        <v>5</v>
      </c>
      <c r="G19" s="40">
        <v>4</v>
      </c>
      <c r="H19" s="40">
        <v>0</v>
      </c>
      <c r="I19" s="40">
        <v>4</v>
      </c>
      <c r="J19" s="52">
        <f t="shared" si="0"/>
        <v>1</v>
      </c>
    </row>
    <row r="20" spans="1:10" x14ac:dyDescent="0.25">
      <c r="A20" s="38">
        <v>11</v>
      </c>
      <c r="B20" s="4">
        <v>14</v>
      </c>
      <c r="C20" s="18" t="s">
        <v>15</v>
      </c>
      <c r="D20" s="68" t="s">
        <v>27</v>
      </c>
      <c r="E20" s="72" t="s">
        <v>117</v>
      </c>
      <c r="F20" s="39">
        <v>5</v>
      </c>
      <c r="G20" s="39">
        <v>4</v>
      </c>
      <c r="H20" s="39">
        <v>0</v>
      </c>
      <c r="I20" s="39">
        <v>4</v>
      </c>
      <c r="J20" s="52">
        <f t="shared" si="0"/>
        <v>1</v>
      </c>
    </row>
    <row r="21" spans="1:10" x14ac:dyDescent="0.25">
      <c r="A21" s="38">
        <v>11</v>
      </c>
      <c r="B21" s="4">
        <v>25</v>
      </c>
      <c r="C21" s="18" t="s">
        <v>25</v>
      </c>
      <c r="D21" s="68" t="s">
        <v>27</v>
      </c>
      <c r="E21" s="13" t="s">
        <v>93</v>
      </c>
      <c r="F21" s="39">
        <v>8</v>
      </c>
      <c r="G21" s="39">
        <v>8</v>
      </c>
      <c r="H21" s="39">
        <v>0</v>
      </c>
      <c r="I21" s="39">
        <v>7</v>
      </c>
      <c r="J21" s="52">
        <f t="shared" si="0"/>
        <v>0.875</v>
      </c>
    </row>
    <row r="22" spans="1:10" x14ac:dyDescent="0.25">
      <c r="A22" s="38">
        <v>11</v>
      </c>
      <c r="B22" s="4">
        <v>25</v>
      </c>
      <c r="C22" s="48" t="s">
        <v>25</v>
      </c>
      <c r="D22" s="67" t="s">
        <v>84</v>
      </c>
      <c r="E22" s="41" t="s">
        <v>93</v>
      </c>
      <c r="F22" s="40">
        <v>7</v>
      </c>
      <c r="G22" s="40">
        <v>7</v>
      </c>
      <c r="H22" s="40">
        <v>0</v>
      </c>
      <c r="I22" s="40">
        <v>6</v>
      </c>
      <c r="J22" s="52">
        <f t="shared" si="0"/>
        <v>0.8571428571428571</v>
      </c>
    </row>
    <row r="23" spans="1:10" x14ac:dyDescent="0.25">
      <c r="A23" s="38">
        <v>11</v>
      </c>
      <c r="B23" s="4">
        <v>5</v>
      </c>
      <c r="C23" s="48" t="s">
        <v>25</v>
      </c>
      <c r="D23" s="67" t="s">
        <v>27</v>
      </c>
      <c r="E23" s="40" t="s">
        <v>96</v>
      </c>
      <c r="F23" s="40">
        <v>4</v>
      </c>
      <c r="G23" s="40">
        <v>4</v>
      </c>
      <c r="H23" s="40">
        <v>0</v>
      </c>
      <c r="I23" s="40">
        <v>4</v>
      </c>
      <c r="J23" s="52">
        <f t="shared" si="0"/>
        <v>1</v>
      </c>
    </row>
    <row r="24" spans="1:10" x14ac:dyDescent="0.25">
      <c r="A24" s="38">
        <v>11</v>
      </c>
      <c r="B24" s="4">
        <v>11</v>
      </c>
      <c r="C24" s="18" t="s">
        <v>25</v>
      </c>
      <c r="D24" s="7" t="s">
        <v>27</v>
      </c>
      <c r="E24" s="39" t="s">
        <v>111</v>
      </c>
      <c r="F24" s="39">
        <v>12</v>
      </c>
      <c r="G24" s="39">
        <v>8</v>
      </c>
      <c r="H24" s="39">
        <v>0</v>
      </c>
      <c r="I24" s="39">
        <v>6</v>
      </c>
      <c r="J24" s="52">
        <f t="shared" si="0"/>
        <v>0.75</v>
      </c>
    </row>
    <row r="25" spans="1:10" x14ac:dyDescent="0.25">
      <c r="A25" s="38">
        <v>11</v>
      </c>
      <c r="B25" s="4">
        <v>6</v>
      </c>
      <c r="C25" s="48" t="s">
        <v>25</v>
      </c>
      <c r="D25" s="67" t="s">
        <v>27</v>
      </c>
      <c r="E25" s="41" t="s">
        <v>110</v>
      </c>
      <c r="F25" s="40">
        <v>8</v>
      </c>
      <c r="G25" s="40">
        <v>7</v>
      </c>
      <c r="H25" s="40">
        <v>0</v>
      </c>
      <c r="I25" s="40">
        <v>6</v>
      </c>
      <c r="J25" s="52">
        <f t="shared" si="0"/>
        <v>0.8571428571428571</v>
      </c>
    </row>
    <row r="26" spans="1:10" x14ac:dyDescent="0.25">
      <c r="A26" s="38">
        <v>11</v>
      </c>
      <c r="B26" s="4">
        <v>6</v>
      </c>
      <c r="C26" s="18" t="s">
        <v>25</v>
      </c>
      <c r="D26" s="68" t="s">
        <v>35</v>
      </c>
      <c r="E26" s="13" t="s">
        <v>110</v>
      </c>
      <c r="F26" s="39">
        <v>8</v>
      </c>
      <c r="G26" s="39">
        <v>7</v>
      </c>
      <c r="H26" s="39">
        <v>0</v>
      </c>
      <c r="I26" s="39">
        <v>7</v>
      </c>
      <c r="J26" s="52">
        <f t="shared" si="0"/>
        <v>1</v>
      </c>
    </row>
    <row r="27" spans="1:10" x14ac:dyDescent="0.25">
      <c r="A27" s="38">
        <v>11</v>
      </c>
      <c r="B27" s="4">
        <v>17</v>
      </c>
      <c r="C27" s="18" t="s">
        <v>25</v>
      </c>
      <c r="D27" s="68" t="s">
        <v>27</v>
      </c>
      <c r="E27" s="13" t="s">
        <v>113</v>
      </c>
      <c r="F27" s="39">
        <v>13</v>
      </c>
      <c r="G27" s="39">
        <v>13</v>
      </c>
      <c r="H27" s="39">
        <v>0</v>
      </c>
      <c r="I27" s="39">
        <v>10</v>
      </c>
      <c r="J27" s="52">
        <f t="shared" si="0"/>
        <v>0.76923076923076927</v>
      </c>
    </row>
    <row r="28" spans="1:10" x14ac:dyDescent="0.25">
      <c r="A28" s="38">
        <v>11</v>
      </c>
      <c r="B28" s="4">
        <v>1</v>
      </c>
      <c r="C28" s="48" t="s">
        <v>45</v>
      </c>
      <c r="D28" s="67" t="s">
        <v>23</v>
      </c>
      <c r="E28" s="70" t="s">
        <v>115</v>
      </c>
      <c r="F28" s="40">
        <v>8</v>
      </c>
      <c r="G28" s="40">
        <v>7</v>
      </c>
      <c r="H28" s="40">
        <v>1</v>
      </c>
      <c r="I28" s="40">
        <v>4</v>
      </c>
      <c r="J28" s="43">
        <f t="shared" si="0"/>
        <v>0.42857142857142855</v>
      </c>
    </row>
    <row r="29" spans="1:10" x14ac:dyDescent="0.25">
      <c r="A29" s="38">
        <v>11</v>
      </c>
      <c r="B29" s="4">
        <v>12</v>
      </c>
      <c r="C29" s="18" t="s">
        <v>45</v>
      </c>
      <c r="D29" s="68" t="s">
        <v>27</v>
      </c>
      <c r="E29" s="13" t="s">
        <v>98</v>
      </c>
      <c r="F29" s="39">
        <v>5</v>
      </c>
      <c r="G29" s="39">
        <v>5</v>
      </c>
      <c r="H29" s="39">
        <v>0</v>
      </c>
      <c r="I29" s="39">
        <v>5</v>
      </c>
      <c r="J29" s="52">
        <f t="shared" si="0"/>
        <v>1</v>
      </c>
    </row>
    <row r="30" spans="1:10" x14ac:dyDescent="0.25">
      <c r="A30" s="38">
        <v>11</v>
      </c>
      <c r="B30" s="4">
        <v>1</v>
      </c>
      <c r="C30" s="18" t="s">
        <v>45</v>
      </c>
      <c r="D30" s="68" t="s">
        <v>22</v>
      </c>
      <c r="E30" s="69" t="s">
        <v>115</v>
      </c>
      <c r="F30" s="39">
        <v>7</v>
      </c>
      <c r="G30" s="39">
        <v>7</v>
      </c>
      <c r="H30" s="39">
        <v>1</v>
      </c>
      <c r="I30" s="39">
        <v>4</v>
      </c>
      <c r="J30" s="43">
        <f t="shared" si="0"/>
        <v>0.42857142857142855</v>
      </c>
    </row>
    <row r="31" spans="1:10" x14ac:dyDescent="0.25">
      <c r="A31" s="38">
        <v>11</v>
      </c>
      <c r="B31" s="4">
        <v>24</v>
      </c>
      <c r="C31" s="48" t="s">
        <v>63</v>
      </c>
      <c r="D31" s="67" t="s">
        <v>27</v>
      </c>
      <c r="E31" s="41" t="s">
        <v>108</v>
      </c>
      <c r="F31" s="40">
        <v>8</v>
      </c>
      <c r="G31" s="40">
        <v>8</v>
      </c>
      <c r="H31" s="40">
        <v>0</v>
      </c>
      <c r="I31" s="40">
        <v>6</v>
      </c>
      <c r="J31" s="52">
        <f t="shared" si="0"/>
        <v>0.75</v>
      </c>
    </row>
    <row r="32" spans="1:10" x14ac:dyDescent="0.25">
      <c r="A32" s="38">
        <v>11</v>
      </c>
      <c r="B32" s="4">
        <v>5</v>
      </c>
      <c r="C32" s="18" t="s">
        <v>119</v>
      </c>
      <c r="D32" s="68" t="s">
        <v>19</v>
      </c>
      <c r="E32" s="69" t="s">
        <v>115</v>
      </c>
      <c r="F32" s="39">
        <v>8</v>
      </c>
      <c r="G32" s="39">
        <v>8</v>
      </c>
      <c r="H32" s="39">
        <v>0</v>
      </c>
      <c r="I32" s="39">
        <v>6</v>
      </c>
      <c r="J32" s="52">
        <f t="shared" si="0"/>
        <v>0.75</v>
      </c>
    </row>
    <row r="33" spans="1:10" x14ac:dyDescent="0.25">
      <c r="A33" s="38">
        <v>11</v>
      </c>
      <c r="B33" s="4">
        <v>5</v>
      </c>
      <c r="C33" s="18" t="s">
        <v>119</v>
      </c>
      <c r="D33" s="67" t="s">
        <v>20</v>
      </c>
      <c r="E33" s="70" t="s">
        <v>115</v>
      </c>
      <c r="F33" s="40">
        <v>8</v>
      </c>
      <c r="G33" s="40">
        <v>8</v>
      </c>
      <c r="H33" s="40">
        <v>0</v>
      </c>
      <c r="I33" s="40">
        <v>6</v>
      </c>
      <c r="J33" s="52">
        <f t="shared" si="0"/>
        <v>0.75</v>
      </c>
    </row>
    <row r="34" spans="1:10" x14ac:dyDescent="0.25">
      <c r="A34" s="38">
        <v>11</v>
      </c>
      <c r="B34" s="4">
        <v>18</v>
      </c>
      <c r="C34" s="18" t="s">
        <v>119</v>
      </c>
      <c r="D34" s="67" t="s">
        <v>27</v>
      </c>
      <c r="E34" s="40" t="s">
        <v>101</v>
      </c>
      <c r="F34" s="40">
        <v>6</v>
      </c>
      <c r="G34" s="40">
        <v>6</v>
      </c>
      <c r="H34" s="40">
        <v>0</v>
      </c>
      <c r="I34" s="40">
        <v>5</v>
      </c>
      <c r="J34" s="52">
        <f t="shared" si="0"/>
        <v>0.83333333333333337</v>
      </c>
    </row>
  </sheetData>
  <sortState xmlns:xlrd2="http://schemas.microsoft.com/office/spreadsheetml/2017/richdata2" ref="A1:J34">
    <sortCondition ref="C1:C34"/>
  </sortState>
  <dataValidations count="1">
    <dataValidation type="list" allowBlank="1" showInputMessage="1" showErrorMessage="1" sqref="D1:D34" xr:uid="{11BC79E6-3B98-4263-8CC0-099B522334AC}">
      <formula1>"ФОП,ФПП,РПУ, ПА, ОБП, 5С, Картирование, ДЦ, ЭИЦ, СР, ОЕЕ, SMED, АО, Мет.реш.проблем"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41236-A1BF-4CF6-8A21-542A89D8E424}">
  <dimension ref="A1:J8"/>
  <sheetViews>
    <sheetView workbookViewId="0">
      <selection activeCell="E24" sqref="E24"/>
    </sheetView>
  </sheetViews>
  <sheetFormatPr defaultRowHeight="15" x14ac:dyDescent="0.25"/>
  <cols>
    <col min="3" max="3" width="28.85546875" customWidth="1"/>
    <col min="4" max="4" width="24" customWidth="1"/>
    <col min="5" max="5" width="46.85546875" customWidth="1"/>
  </cols>
  <sheetData>
    <row r="1" spans="1:10" x14ac:dyDescent="0.25">
      <c r="A1" s="38">
        <v>12</v>
      </c>
      <c r="B1" s="4">
        <v>10</v>
      </c>
      <c r="C1" s="48" t="s">
        <v>18</v>
      </c>
      <c r="D1" s="67" t="s">
        <v>75</v>
      </c>
      <c r="E1" s="70" t="s">
        <v>116</v>
      </c>
      <c r="F1" s="40">
        <v>6</v>
      </c>
      <c r="G1" s="40">
        <v>6</v>
      </c>
      <c r="H1" s="40">
        <v>0</v>
      </c>
      <c r="I1" s="40">
        <v>6</v>
      </c>
      <c r="J1" s="10">
        <f t="shared" ref="J1:J7" si="0">IFERROR(I1/G1-H1/G1,"")</f>
        <v>1</v>
      </c>
    </row>
    <row r="2" spans="1:10" x14ac:dyDescent="0.25">
      <c r="A2" s="38">
        <v>12</v>
      </c>
      <c r="B2" s="4">
        <v>2</v>
      </c>
      <c r="C2" s="18" t="s">
        <v>45</v>
      </c>
      <c r="D2" s="68" t="s">
        <v>27</v>
      </c>
      <c r="E2" s="39" t="s">
        <v>107</v>
      </c>
      <c r="F2" s="39">
        <v>7</v>
      </c>
      <c r="G2" s="39">
        <v>7</v>
      </c>
      <c r="H2" s="39">
        <v>0</v>
      </c>
      <c r="I2" s="39">
        <v>6</v>
      </c>
      <c r="J2" s="10">
        <f t="shared" si="0"/>
        <v>0.8571428571428571</v>
      </c>
    </row>
    <row r="3" spans="1:10" x14ac:dyDescent="0.25">
      <c r="A3" s="38">
        <v>12</v>
      </c>
      <c r="B3" s="4">
        <v>3</v>
      </c>
      <c r="C3" s="48" t="s">
        <v>18</v>
      </c>
      <c r="D3" s="67" t="s">
        <v>27</v>
      </c>
      <c r="E3" s="40" t="s">
        <v>103</v>
      </c>
      <c r="F3" s="40">
        <v>5</v>
      </c>
      <c r="G3" s="40">
        <v>5</v>
      </c>
      <c r="H3" s="40">
        <v>0</v>
      </c>
      <c r="I3" s="40">
        <v>5</v>
      </c>
      <c r="J3" s="10">
        <f t="shared" si="0"/>
        <v>1</v>
      </c>
    </row>
    <row r="4" spans="1:10" x14ac:dyDescent="0.25">
      <c r="A4" s="38">
        <v>12</v>
      </c>
      <c r="B4" s="4">
        <v>1</v>
      </c>
      <c r="C4" s="18" t="s">
        <v>25</v>
      </c>
      <c r="D4" s="68" t="s">
        <v>27</v>
      </c>
      <c r="E4" s="13" t="s">
        <v>105</v>
      </c>
      <c r="F4" s="39">
        <v>5</v>
      </c>
      <c r="G4" s="39">
        <v>5</v>
      </c>
      <c r="H4" s="39">
        <v>0</v>
      </c>
      <c r="I4" s="39">
        <v>4</v>
      </c>
      <c r="J4" s="10">
        <f t="shared" si="0"/>
        <v>0.8</v>
      </c>
    </row>
    <row r="5" spans="1:10" x14ac:dyDescent="0.25">
      <c r="A5" s="38">
        <v>12</v>
      </c>
      <c r="B5" s="4">
        <v>10</v>
      </c>
      <c r="C5" s="48" t="s">
        <v>25</v>
      </c>
      <c r="D5" s="67" t="s">
        <v>27</v>
      </c>
      <c r="E5" s="70" t="s">
        <v>115</v>
      </c>
      <c r="F5" s="40">
        <v>3</v>
      </c>
      <c r="G5" s="40">
        <v>3</v>
      </c>
      <c r="H5" s="40">
        <v>0</v>
      </c>
      <c r="I5" s="40">
        <v>3</v>
      </c>
      <c r="J5" s="10">
        <f t="shared" si="0"/>
        <v>1</v>
      </c>
    </row>
    <row r="6" spans="1:10" x14ac:dyDescent="0.25">
      <c r="A6" s="38">
        <v>12</v>
      </c>
      <c r="B6" s="4">
        <v>3</v>
      </c>
      <c r="C6" s="18" t="s">
        <v>45</v>
      </c>
      <c r="D6" s="68" t="s">
        <v>27</v>
      </c>
      <c r="E6" s="13" t="s">
        <v>114</v>
      </c>
      <c r="F6" s="39">
        <v>5</v>
      </c>
      <c r="G6" s="39">
        <v>4</v>
      </c>
      <c r="H6" s="39">
        <v>0</v>
      </c>
      <c r="I6" s="39">
        <v>3</v>
      </c>
      <c r="J6" s="10">
        <f t="shared" si="0"/>
        <v>0.75</v>
      </c>
    </row>
    <row r="7" spans="1:10" x14ac:dyDescent="0.25">
      <c r="A7" s="38">
        <v>12</v>
      </c>
      <c r="B7" s="17">
        <v>1</v>
      </c>
      <c r="C7" s="48" t="s">
        <v>45</v>
      </c>
      <c r="D7" s="71" t="s">
        <v>27</v>
      </c>
      <c r="E7" s="41" t="s">
        <v>112</v>
      </c>
      <c r="F7" s="40">
        <v>5</v>
      </c>
      <c r="G7" s="40">
        <v>5</v>
      </c>
      <c r="H7" s="40">
        <v>0</v>
      </c>
      <c r="I7" s="40">
        <v>5</v>
      </c>
      <c r="J7" s="10">
        <f t="shared" si="0"/>
        <v>1</v>
      </c>
    </row>
    <row r="8" spans="1:10" x14ac:dyDescent="0.25">
      <c r="A8" s="38">
        <v>12</v>
      </c>
      <c r="B8" s="4">
        <v>9</v>
      </c>
      <c r="C8" s="18" t="s">
        <v>25</v>
      </c>
      <c r="D8" s="68" t="s">
        <v>27</v>
      </c>
      <c r="E8" s="13" t="s">
        <v>89</v>
      </c>
      <c r="F8" s="39">
        <v>5</v>
      </c>
      <c r="G8" s="39">
        <v>4</v>
      </c>
      <c r="H8" s="39">
        <v>0</v>
      </c>
      <c r="I8" s="39">
        <v>4</v>
      </c>
      <c r="J8" s="10">
        <f>IFERROR(I8/G8-H8/G8,"")</f>
        <v>1</v>
      </c>
    </row>
  </sheetData>
  <dataValidations count="1">
    <dataValidation type="list" allowBlank="1" showInputMessage="1" showErrorMessage="1" sqref="D1:D8" xr:uid="{77B52BEF-4205-4033-9F1C-BA242829FA6E}">
      <formula1>"ФОП,ФПП,РПУ, ПА, ОБП, 5С, Картирование, ДЦ, ЭИЦ, СР, ОЕЕ, SMED, АО, Мет.реш.проблем"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040dfa8-117b-4bd2-b9a9-a5a7d75514fe" xsi:nil="true"/>
    <lcf76f155ced4ddcb4097134ff3c332f xmlns="11a6046c-63f1-4c80-a521-ef7ae251e89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70EC594400F1A24E86B9F1B6D764F6F7" ma:contentTypeVersion="14" ma:contentTypeDescription="Создание документа." ma:contentTypeScope="" ma:versionID="80af868213e5908aaf6648beb9f8a390">
  <xsd:schema xmlns:xsd="http://www.w3.org/2001/XMLSchema" xmlns:xs="http://www.w3.org/2001/XMLSchema" xmlns:p="http://schemas.microsoft.com/office/2006/metadata/properties" xmlns:ns2="11a6046c-63f1-4c80-a521-ef7ae251e897" xmlns:ns3="4040dfa8-117b-4bd2-b9a9-a5a7d75514fe" targetNamespace="http://schemas.microsoft.com/office/2006/metadata/properties" ma:root="true" ma:fieldsID="bbae45399d085722103b1229869eb932" ns2:_="" ns3:_="">
    <xsd:import namespace="11a6046c-63f1-4c80-a521-ef7ae251e897"/>
    <xsd:import namespace="4040dfa8-117b-4bd2-b9a9-a5a7d75514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a6046c-63f1-4c80-a521-ef7ae251e8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49847d03-d8be-4925-a9f2-3878591b595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40dfa8-117b-4bd2-b9a9-a5a7d75514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ff3c426c-db4f-4bd3-ae76-76a60e48ccaa}" ma:internalName="TaxCatchAll" ma:showField="CatchAllData" ma:web="4040dfa8-117b-4bd2-b9a9-a5a7d75514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E30A37-77CC-40F9-A649-D88836324085}">
  <ds:schemaRefs>
    <ds:schemaRef ds:uri="http://schemas.microsoft.com/office/2006/metadata/properties"/>
    <ds:schemaRef ds:uri="http://schemas.microsoft.com/office/infopath/2007/PartnerControls"/>
    <ds:schemaRef ds:uri="20f1e087-82f0-4ac0-a6fc-f48ff04a65c7"/>
    <ds:schemaRef ds:uri="16b4bb0b-ff98-4bba-bfd0-da1580ea890c"/>
    <ds:schemaRef ds:uri="4040dfa8-117b-4bd2-b9a9-a5a7d75514fe"/>
    <ds:schemaRef ds:uri="11a6046c-63f1-4c80-a521-ef7ae251e897"/>
  </ds:schemaRefs>
</ds:datastoreItem>
</file>

<file path=customXml/itemProps2.xml><?xml version="1.0" encoding="utf-8"?>
<ds:datastoreItem xmlns:ds="http://schemas.openxmlformats.org/officeDocument/2006/customXml" ds:itemID="{2C88A3D9-6ACB-48BD-895A-7130C5EB4B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a6046c-63f1-4c80-a521-ef7ae251e897"/>
    <ds:schemaRef ds:uri="4040dfa8-117b-4bd2-b9a9-a5a7d75514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C98C42D-118E-47F9-926D-C621D096C5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17</vt:i4>
      </vt:variant>
      <vt:variant>
        <vt:lpstr>Именованные диапазоны</vt:lpstr>
      </vt:variant>
      <vt:variant>
        <vt:i4>1</vt:i4>
      </vt:variant>
    </vt:vector>
  </HeadingPairs>
  <TitlesOfParts>
    <vt:vector size="18" baseType="lpstr">
      <vt:lpstr>графика по среднему НПС</vt:lpstr>
      <vt:lpstr>Статистика НПС по тренингам</vt:lpstr>
      <vt:lpstr>Статистика по тренерам</vt:lpstr>
      <vt:lpstr>Графика НПС по тренерам</vt:lpstr>
      <vt:lpstr>Итого за год</vt:lpstr>
      <vt:lpstr>январь</vt:lpstr>
      <vt:lpstr>февраль</vt:lpstr>
      <vt:lpstr>март</vt:lpstr>
      <vt:lpstr>апрель</vt:lpstr>
      <vt:lpstr>май</vt:lpstr>
      <vt:lpstr>июнь</vt:lpstr>
      <vt:lpstr>июль</vt:lpstr>
      <vt:lpstr>август</vt:lpstr>
      <vt:lpstr>сентябрь</vt:lpstr>
      <vt:lpstr>октябрь</vt:lpstr>
      <vt:lpstr>ноябрь</vt:lpstr>
      <vt:lpstr>декабрь</vt:lpstr>
      <vt:lpstr>'графика по среднему НПС'!Область_печати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ИИ Воробьева</dc:creator>
  <cp:lastModifiedBy>Воробьева Ирина Ивановна</cp:lastModifiedBy>
  <cp:lastPrinted>2026-02-06T06:32:45Z</cp:lastPrinted>
  <dcterms:created xsi:type="dcterms:W3CDTF">2015-06-05T18:17:20Z</dcterms:created>
  <dcterms:modified xsi:type="dcterms:W3CDTF">2026-02-06T10:16:05Z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0x01010070EC594400F1A24E86B9F1B6D764F6F7</vt:lpwstr>
  </property>
  <property fmtid="{D5CDD505-2E9C-101B-9397-08002B2CF9AE}" pid="3" name="MediaServiceImageTags">
    <vt:lpwstr/>
  </property>
</Properties>
</file>