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/>
  <mc:AlternateContent xmlns:mc="http://schemas.openxmlformats.org/markup-compatibility/2006">
    <mc:Choice Requires="x15">
      <x15ac:absPath xmlns:x15ac="http://schemas.microsoft.com/office/spreadsheetml/2010/11/ac" url="/Users/aleksandrs/Desktop/Мои проекты/8. Обучение/Исходные данные/"/>
    </mc:Choice>
  </mc:AlternateContent>
  <xr:revisionPtr revIDLastSave="0" documentId="13_ncr:1_{DA87654E-3BEC-F041-936D-93BF6287369B}" xr6:coauthVersionLast="47" xr6:coauthVersionMax="47" xr10:uidLastSave="{00000000-0000-0000-0000-000000000000}"/>
  <bookViews>
    <workbookView xWindow="0" yWindow="740" windowWidth="30240" windowHeight="18900" activeTab="7" xr2:uid="{00000000-000D-0000-FFFF-FFFF00000000}"/>
  </bookViews>
  <sheets>
    <sheet name="графика по среднему НПС" sheetId="1" r:id="rId1"/>
    <sheet name="Статистика по тренингам" sheetId="2" r:id="rId2"/>
    <sheet name="Статистика по тренерам" sheetId="6" r:id="rId3"/>
    <sheet name="Графика по НПС тренеров" sheetId="7" r:id="rId4"/>
    <sheet name="январь" sheetId="3" r:id="rId5"/>
    <sheet name="февраль" sheetId="4" r:id="rId6"/>
    <sheet name="март" sheetId="5" r:id="rId7"/>
    <sheet name="апрель" sheetId="8" r:id="rId8"/>
    <sheet name="май" sheetId="9" r:id="rId9"/>
    <sheet name="июнь" sheetId="10" r:id="rId10"/>
    <sheet name="июль" sheetId="11" r:id="rId11"/>
    <sheet name="август" sheetId="12" r:id="rId12"/>
  </sheets>
  <definedNames>
    <definedName name="_xlnm.Print_Area" localSheetId="0">'графика по среднему НПС'!$A$1:$P$34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1" i="6" l="1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17" i="8"/>
  <c r="J7" i="8"/>
  <c r="J19" i="8"/>
  <c r="J21" i="8"/>
  <c r="J3" i="8"/>
  <c r="J24" i="8"/>
  <c r="J16" i="8"/>
  <c r="J6" i="8"/>
  <c r="J14" i="8"/>
  <c r="J2" i="8"/>
  <c r="J28" i="8"/>
  <c r="J12" i="8"/>
  <c r="J23" i="8"/>
  <c r="J10" i="8"/>
  <c r="J18" i="8"/>
  <c r="J8" i="8"/>
  <c r="J1" i="8"/>
  <c r="J20" i="8"/>
  <c r="J32" i="8"/>
  <c r="J26" i="8"/>
  <c r="J11" i="8"/>
  <c r="J22" i="8"/>
  <c r="J9" i="8"/>
  <c r="J31" i="8"/>
  <c r="J5" i="8"/>
  <c r="J25" i="8"/>
  <c r="J4" i="8"/>
  <c r="J30" i="8"/>
  <c r="J29" i="8"/>
  <c r="J15" i="8"/>
  <c r="J13" i="8"/>
  <c r="J27" i="8"/>
  <c r="J59" i="6" l="1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17" i="5"/>
  <c r="J9" i="5"/>
  <c r="J23" i="5"/>
  <c r="J21" i="5"/>
  <c r="J20" i="5"/>
  <c r="J24" i="5"/>
  <c r="J22" i="5"/>
  <c r="J5" i="5"/>
  <c r="J8" i="5"/>
  <c r="J2" i="5"/>
  <c r="J1" i="5"/>
  <c r="J6" i="5"/>
  <c r="J3" i="5"/>
  <c r="J15" i="5"/>
  <c r="J13" i="5"/>
  <c r="J11" i="5"/>
  <c r="J12" i="5"/>
  <c r="J14" i="5"/>
  <c r="J16" i="5"/>
  <c r="J4" i="5"/>
  <c r="J7" i="5"/>
  <c r="J10" i="5"/>
  <c r="J19" i="5"/>
  <c r="J18" i="5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6" i="4" l="1"/>
  <c r="J11" i="4"/>
  <c r="J15" i="4"/>
  <c r="J13" i="4"/>
  <c r="J12" i="4"/>
  <c r="J16" i="4"/>
  <c r="J21" i="4"/>
  <c r="J1" i="4"/>
  <c r="J3" i="4"/>
  <c r="J10" i="4"/>
  <c r="J8" i="4"/>
  <c r="J20" i="4"/>
  <c r="J14" i="4"/>
  <c r="J19" i="4"/>
  <c r="J2" i="4"/>
  <c r="J25" i="4"/>
  <c r="J24" i="4"/>
  <c r="J5" i="4"/>
  <c r="J4" i="4"/>
  <c r="J22" i="4"/>
  <c r="J18" i="4"/>
  <c r="J17" i="4"/>
  <c r="J23" i="4"/>
  <c r="J9" i="4"/>
  <c r="J7" i="4"/>
  <c r="J10" i="6"/>
  <c r="J9" i="6"/>
  <c r="J8" i="6"/>
  <c r="J7" i="6"/>
  <c r="J6" i="6"/>
  <c r="J5" i="6"/>
  <c r="J4" i="6"/>
  <c r="J3" i="6"/>
  <c r="J2" i="6"/>
  <c r="J1" i="6"/>
  <c r="J3" i="3"/>
  <c r="J2" i="3"/>
  <c r="J10" i="3"/>
  <c r="J8" i="3"/>
  <c r="J1" i="3"/>
  <c r="J9" i="3"/>
  <c r="J6" i="3"/>
  <c r="J4" i="3"/>
  <c r="J7" i="3"/>
  <c r="J5" i="3"/>
</calcChain>
</file>

<file path=xl/sharedStrings.xml><?xml version="1.0" encoding="utf-8"?>
<sst xmlns="http://schemas.openxmlformats.org/spreadsheetml/2006/main" count="609" uniqueCount="61">
  <si>
    <t>Тренинги</t>
  </si>
  <si>
    <t>Фабрики процессов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</si>
  <si>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</si>
  <si>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</si>
  <si>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</si>
  <si>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</si>
  <si>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</si>
  <si>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</si>
  <si>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</si>
  <si>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</si>
  <si>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</si>
  <si>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</si>
  <si>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</si>
  <si>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</si>
  <si>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средний за год</t>
  </si>
  <si>
    <t>Туранов Кирилл</t>
  </si>
  <si>
    <t>ОБП</t>
  </si>
  <si>
    <t>Басанцова Надежда</t>
  </si>
  <si>
    <t>РПУ</t>
  </si>
  <si>
    <t>5С</t>
  </si>
  <si>
    <t>Картирование</t>
  </si>
  <si>
    <t>ПА</t>
  </si>
  <si>
    <t>Уваров Константин</t>
  </si>
  <si>
    <t>СР</t>
  </si>
  <si>
    <t>АО</t>
  </si>
  <si>
    <t>СМЕД</t>
  </si>
  <si>
    <t>Название тренинга</t>
  </si>
  <si>
    <t>средний НПС</t>
  </si>
  <si>
    <t>1 модуль</t>
  </si>
  <si>
    <t>2 модуль</t>
  </si>
  <si>
    <t>ОЕЕ</t>
  </si>
  <si>
    <t>МРП</t>
  </si>
  <si>
    <t>ФП/ФОП</t>
  </si>
  <si>
    <t>ФИО тренера</t>
  </si>
  <si>
    <t>Хлебников Александр</t>
  </si>
  <si>
    <t>Басанцова Н.В.</t>
  </si>
  <si>
    <t>Васильева С.В.</t>
  </si>
  <si>
    <t>Туранов К.Д.</t>
  </si>
  <si>
    <t>Уваров К.А.</t>
  </si>
  <si>
    <t>Хлебников А.В.</t>
  </si>
  <si>
    <t>Чуприков С.О.</t>
  </si>
  <si>
    <t>средний NPS</t>
  </si>
  <si>
    <t>Васильева Светлана</t>
  </si>
  <si>
    <t>Чуприков Станислав</t>
  </si>
  <si>
    <t>Осман А.А.</t>
  </si>
  <si>
    <t>Осман Александра</t>
  </si>
  <si>
    <t>ООО "Балтийский хлеб"</t>
  </si>
  <si>
    <t>ООО "ЛСР.Строительство СЗ"</t>
  </si>
  <si>
    <t>ООО "Сколиолоджик.РУ"</t>
  </si>
  <si>
    <t>АО "КСП Колпинского района"</t>
  </si>
  <si>
    <t>ООО "Красногвардеец"</t>
  </si>
  <si>
    <t>ООО "ПЧЗ Ракета"</t>
  </si>
  <si>
    <t>ООО "В-трейлер"</t>
  </si>
  <si>
    <t>ООО "МСП"</t>
  </si>
  <si>
    <t>ООО "СмайлСтрой"</t>
  </si>
  <si>
    <t>ООО "Металекс"</t>
  </si>
  <si>
    <t>ООО "Счастливый клиент"</t>
  </si>
  <si>
    <t>ООО "Фабрика Ацтек"</t>
  </si>
  <si>
    <t>ООО "Термо-северный поток"</t>
  </si>
  <si>
    <t>ООО "Талату"</t>
  </si>
  <si>
    <t>АО "Абсидиан"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</si>
</sst>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color rgb="FFFF0000"/>
      <name val="Arial"/>
      <family val="2"/>
      <charset val="204"/>
    </font>
    <font>
      <sz val="11"/>
      <color rgb="FF9C6500"/>
      <name val="Arial"/>
      <family val="2"/>
      <charset val="204"/>
    </font>
    <font>
      <b/>
      <sz val="11"/>
      <color rgb="FFFF0000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rgb="FFFFEB9C"/>
      </patternFill>
    </fill>
    <fill>
      <patternFill patternType="solid">
        <fgColor theme="0"/>
        <bgColor rgb="FFFFEB9C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5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3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5" borderId="0" applyNumberFormat="0" applyBorder="0" applyAlignment="0" applyProtection="0"/>
  </cellStyleXfs>
  <cellXfs count="7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4" fillId="8" borderId="2" xfId="82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5" fillId="12" borderId="1" xfId="82" applyFont="1" applyFill="1" applyBorder="1" applyAlignment="1" applyProtection="1">
      <alignment horizontal="center" vertical="center"/>
      <protection hidden="1"/>
    </xf>
    <xf numFmtId="0" fontId="4" fillId="12" borderId="1" xfId="82" applyFont="1" applyFill="1" applyBorder="1" applyAlignment="1" applyProtection="1">
      <alignment horizontal="center" vertical="center"/>
      <protection hidden="1"/>
    </xf>
    <xf numFmtId="0" fontId="5" fillId="12" borderId="2" xfId="8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7" fillId="8" borderId="2" xfId="82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2" borderId="4" xfId="0" applyFill="1" applyBorder="1"/>
    <xf numFmtId="0" fontId="5" fillId="12" borderId="1" xfId="82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9" fontId="4" fillId="5" borderId="3" xfId="82" applyNumberFormat="1" applyFont="1" applyBorder="1" applyAlignment="1" applyProtection="1">
      <alignment horizontal="center" vertical="center"/>
      <protection hidden="1"/>
    </xf>
    <xf numFmtId="9" fontId="7" fillId="5" borderId="3" xfId="82" applyNumberFormat="1" applyFont="1" applyBorder="1" applyAlignment="1" applyProtection="1">
      <alignment horizontal="center" vertical="center"/>
      <protection hidden="1"/>
    </xf>
    <xf numFmtId="0" fontId="4" fillId="13" borderId="1" xfId="82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4" fillId="13" borderId="1" xfId="82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9" fontId="5" fillId="13" borderId="1" xfId="82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9" fontId="7" fillId="13" borderId="1" xfId="82" applyNumberFormat="1" applyFont="1" applyFill="1" applyBorder="1" applyAlignment="1">
      <alignment horizontal="center" vertical="center"/>
    </xf>
    <xf numFmtId="9" fontId="4" fillId="13" borderId="2" xfId="82" applyNumberFormat="1" applyFont="1" applyFill="1" applyBorder="1" applyAlignment="1">
      <alignment horizontal="center" vertical="center"/>
    </xf>
    <xf numFmtId="9" fontId="5" fillId="13" borderId="2" xfId="82" applyNumberFormat="1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13" borderId="3" xfId="82" applyFont="1" applyFill="1" applyBorder="1" applyAlignment="1" applyProtection="1">
      <alignment horizontal="center" vertical="center"/>
      <protection hidden="1"/>
    </xf>
    <xf numFmtId="0" fontId="4" fillId="13" borderId="1" xfId="82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9" fontId="4" fillId="15" borderId="1" xfId="82" applyNumberFormat="1" applyFont="1" applyFill="1" applyBorder="1" applyAlignment="1" applyProtection="1">
      <alignment horizontal="center" vertical="center"/>
      <protection hidden="1"/>
    </xf>
    <xf numFmtId="9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2" borderId="3" xfId="0" applyFont="1" applyFill="1" applyBorder="1" applyAlignment="1">
      <alignment horizontal="center" vertical="center"/>
    </xf>
    <xf numFmtId="9" fontId="7" fillId="15" borderId="1" xfId="82" applyNumberFormat="1" applyFont="1" applyFill="1" applyBorder="1" applyAlignment="1" applyProtection="1">
      <alignment horizontal="center" vertical="center"/>
      <protection hidden="1"/>
    </xf>
    <xf numFmtId="9" fontId="4" fillId="13" borderId="1" xfId="82" applyNumberFormat="1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>
      <alignment horizontal="center" vertical="center"/>
    </xf>
    <xf numFmtId="9" fontId="8" fillId="15" borderId="1" xfId="82" applyNumberFormat="1" applyFont="1" applyFill="1" applyBorder="1" applyAlignment="1" applyProtection="1">
      <alignment horizontal="center" vertical="center"/>
      <protection hidden="1"/>
    </xf>
    <xf numFmtId="0" fontId="5" fillId="13" borderId="1" xfId="82" applyFont="1" applyFill="1" applyBorder="1" applyAlignment="1" applyProtection="1">
      <alignment horizontal="center" vertical="center"/>
      <protection hidden="1"/>
    </xf>
    <xf numFmtId="0" fontId="0" fillId="2" borderId="0" xfId="0" applyFill="1"/>
    <xf numFmtId="9" fontId="8" fillId="13" borderId="1" xfId="8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83">
    <cellStyle name="Нейтральный" xfId="82" builtinId="28"/>
    <cellStyle name="Обычный" xfId="0" builtinId="0"/>
    <cellStyle name="Обычный 2" xfId="2" xr:uid="{ECB4597C-1DDF-4061-A9FF-88036F4A56F5}"/>
    <cellStyle name="Comma" xfId="6" xr:uid="{F174A3DB-0098-49DE-ABAF-2E645EEB9D23}"/>
    <cellStyle name="Comma [0]" xfId="7" xr:uid="{E38DA71D-0C14-4DAB-B6E8-A5CAC747AE46}"/>
    <cellStyle name="Comma [0] 10" xfId="79" xr:uid="{1D7436C9-AF2C-4305-A499-084405DB88CF}"/>
    <cellStyle name="Comma [0] 2" xfId="11" xr:uid="{FC472C89-AB42-488E-AE1E-20EB1D0E19B4}"/>
    <cellStyle name="Comma [0] 3" xfId="19" xr:uid="{A4FC2516-9983-41AD-9621-0033111E4F75}"/>
    <cellStyle name="Comma [0] 4" xfId="29" xr:uid="{FCB08FDA-0365-4D80-9F13-01228269909E}"/>
    <cellStyle name="Comma [0] 5" xfId="35" xr:uid="{8FCDC9D6-CB59-4CF3-B29F-BE1F3D6573FF}"/>
    <cellStyle name="Comma [0] 6" xfId="39" xr:uid="{D3584515-A6B0-4702-8B80-99F95B3BE2F3}"/>
    <cellStyle name="Comma [0] 7" xfId="45" xr:uid="{D2D76F1D-029D-40B0-9098-58E0289A84D6}"/>
    <cellStyle name="Comma [0] 8" xfId="59" xr:uid="{2FD09316-263F-4E29-A6C6-8EB3B0D10765}"/>
    <cellStyle name="Comma [0] 9" xfId="71" xr:uid="{B3D9E057-664C-4C7E-A56F-32C2D5D72961}"/>
    <cellStyle name="Comma 10" xfId="31" xr:uid="{DB895720-3612-468D-AEEF-3DC70107BC31}"/>
    <cellStyle name="Comma 11" xfId="34" xr:uid="{3E7A6669-58D0-4EF7-8189-CA5290ED3DDE}"/>
    <cellStyle name="Comma 12" xfId="38" xr:uid="{BDB51D08-86F1-4525-B82F-5BC99602DF5B}"/>
    <cellStyle name="Comma 13" xfId="41" xr:uid="{A7629E67-DC09-4EE7-BE0E-A53D0511965B}"/>
    <cellStyle name="Comma 14" xfId="44" xr:uid="{FDECF6E4-63BA-48D6-A307-D14835195DA2}"/>
    <cellStyle name="Comma 15" xfId="47" xr:uid="{C1682F1F-8D81-4816-9065-79F7D6C65CDB}"/>
    <cellStyle name="Comma 16" xfId="48" xr:uid="{B7973C02-E2D8-400A-BFB5-B9C83EFBD413}"/>
    <cellStyle name="Comma 17" xfId="50" xr:uid="{423754C6-ED25-4A9B-A982-B1170D4F195F}"/>
    <cellStyle name="Comma 18" xfId="52" xr:uid="{D7B66BE0-462B-4D62-B0A8-C1FA53CE2AE4}"/>
    <cellStyle name="Comma 19" xfId="54" xr:uid="{1DD88D6F-FE05-4A63-943F-6D926F9BAC96}"/>
    <cellStyle name="Comma 2" xfId="10" xr:uid="{0CAF1F2C-D9B8-416C-BFDD-8036FAA35424}"/>
    <cellStyle name="Comma 20" xfId="58" xr:uid="{0B6F6B85-A360-467B-9443-879208FBEC34}"/>
    <cellStyle name="Comma 21" xfId="61" xr:uid="{070AC159-C1E3-4496-964F-F161C0A76FBC}"/>
    <cellStyle name="Comma 22" xfId="62" xr:uid="{0461D702-BF88-47D5-8EA7-4C217D26B00B}"/>
    <cellStyle name="Comma 23" xfId="64" xr:uid="{DF946066-311E-47CD-8D97-01C13A5380CD}"/>
    <cellStyle name="Comma 24" xfId="66" xr:uid="{F67240FE-A76B-4C40-BCEB-344FEB472E69}"/>
    <cellStyle name="Comma 25" xfId="70" xr:uid="{B8234095-F57F-4E10-A4D9-E4E8626D789B}"/>
    <cellStyle name="Comma 26" xfId="73" xr:uid="{495DD4C6-F74E-4D69-8315-3E56231164B3}"/>
    <cellStyle name="Comma 27" xfId="74" xr:uid="{B0611C55-862E-4539-B883-954EF5EEDC41}"/>
    <cellStyle name="Comma 28" xfId="78" xr:uid="{1522D09F-9794-42D7-A966-BAA161DA02C8}"/>
    <cellStyle name="Comma 29" xfId="81" xr:uid="{60BA3E76-790E-44A3-AA9E-E788749C23DC}"/>
    <cellStyle name="Comma 3" xfId="13" xr:uid="{4A51A883-99C6-4CC1-9FFD-8BF998316C59}"/>
    <cellStyle name="Comma 4" xfId="14" xr:uid="{FDD33631-0412-48B9-B66B-77D587A276D1}"/>
    <cellStyle name="Comma 5" xfId="18" xr:uid="{070B174F-867A-4A34-95DA-01B5613CB38E}"/>
    <cellStyle name="Comma 6" xfId="21" xr:uid="{79490EC4-C41D-4630-AE3C-19551D85DFA2}"/>
    <cellStyle name="Comma 7" xfId="22" xr:uid="{9C58EC9E-79E9-4C14-8B1B-94950D7F891A}"/>
    <cellStyle name="Comma 8" xfId="24" xr:uid="{60E76C1F-9152-4337-B639-D6E3BDA6EED0}"/>
    <cellStyle name="Comma 9" xfId="28" xr:uid="{B11E56D5-DA85-46F9-A104-C29B0D52EDB7}"/>
    <cellStyle name="Currency" xfId="4" xr:uid="{84F35F4D-899F-43BE-8D4B-0766C52D7C16}"/>
    <cellStyle name="Currency [0]" xfId="5" xr:uid="{F8030EDC-99BA-4B62-BF36-294A4F7D2734}"/>
    <cellStyle name="Currency [0] 10" xfId="77" xr:uid="{70C52B3C-B48E-40D9-8252-D7E34607C781}"/>
    <cellStyle name="Currency [0] 2" xfId="9" xr:uid="{59AFBD18-D1FF-4A40-B159-96199F9BA71D}"/>
    <cellStyle name="Currency [0] 3" xfId="17" xr:uid="{7643F0CE-8C06-4AAC-A045-EFB0DC309E92}"/>
    <cellStyle name="Currency [0] 4" xfId="27" xr:uid="{F4C36C07-760D-4096-A6C2-BB04A5129057}"/>
    <cellStyle name="Currency [0] 5" xfId="33" xr:uid="{A1F51997-68B7-4040-A343-FD7B354CDBE7}"/>
    <cellStyle name="Currency [0] 6" xfId="37" xr:uid="{87580AEC-E127-4CEE-ADBB-5F5196E4D104}"/>
    <cellStyle name="Currency [0] 7" xfId="43" xr:uid="{F2B93487-511C-4F85-874D-4C95F99AEE24}"/>
    <cellStyle name="Currency [0] 8" xfId="57" xr:uid="{465C77A4-CBA1-4337-9BA0-C2D54010CFC6}"/>
    <cellStyle name="Currency [0] 9" xfId="69" xr:uid="{9B9A822D-BCBD-42B3-9F6B-2D682C664086}"/>
    <cellStyle name="Currency 10" xfId="30" xr:uid="{B68BEC36-528A-46A7-90E1-C9F68B89265E}"/>
    <cellStyle name="Currency 11" xfId="32" xr:uid="{BF742079-20A5-4D96-BB8B-5B03B3FD01BC}"/>
    <cellStyle name="Currency 12" xfId="36" xr:uid="{CA879C53-5210-49ED-A8FA-7A838274FC5A}"/>
    <cellStyle name="Currency 13" xfId="40" xr:uid="{F9987B64-A01F-4F45-A294-663CE41E53F3}"/>
    <cellStyle name="Currency 14" xfId="42" xr:uid="{0E5BE0C4-84B7-490F-8ACD-71FDAD88F7F6}"/>
    <cellStyle name="Currency 15" xfId="46" xr:uid="{D6066FB7-A73B-4C96-834A-8D1F323008FE}"/>
    <cellStyle name="Currency 16" xfId="49" xr:uid="{14050B41-326C-49BE-9C33-A057985E05B0}"/>
    <cellStyle name="Currency 17" xfId="51" xr:uid="{06183DC7-92DC-4237-B8F4-5E21410A2C2B}"/>
    <cellStyle name="Currency 18" xfId="53" xr:uid="{3EC83D93-2F29-41DD-AF28-18301987B7ED}"/>
    <cellStyle name="Currency 19" xfId="55" xr:uid="{D5A20CED-EE28-4B90-8EFB-952D5434A1EF}"/>
    <cellStyle name="Currency 2" xfId="8" xr:uid="{08296597-09D1-4BA6-A3CA-F3B173339BC4}"/>
    <cellStyle name="Currency 20" xfId="56" xr:uid="{C655759A-F8E3-4833-8717-FB189690DB31}"/>
    <cellStyle name="Currency 21" xfId="60" xr:uid="{1CFA4D64-CE07-48DA-9E53-CF63441B2593}"/>
    <cellStyle name="Currency 22" xfId="63" xr:uid="{15F2756B-FDEE-4AAE-8EFE-D29D26B9C2CD}"/>
    <cellStyle name="Currency 23" xfId="65" xr:uid="{539741CE-77A6-4ACA-B27D-ACFEAF656124}"/>
    <cellStyle name="Currency 24" xfId="67" xr:uid="{02F97350-15CE-4FCB-B0D8-31790203F45A}"/>
    <cellStyle name="Currency 25" xfId="68" xr:uid="{513999DE-F85B-4F9D-AD1F-7F69A9DBD1EB}"/>
    <cellStyle name="Currency 26" xfId="72" xr:uid="{8BCC41AD-CD0E-43F0-A955-2BA8BD52CB04}"/>
    <cellStyle name="Currency 27" xfId="75" xr:uid="{04B88860-88ED-49AD-955A-C430FFB2088A}"/>
    <cellStyle name="Currency 28" xfId="76" xr:uid="{2F040674-1D7D-4FB3-A2A8-325DB9085C50}"/>
    <cellStyle name="Currency 29" xfId="80" xr:uid="{605BE1E1-207D-4872-8C3E-0668ACA985E8}"/>
    <cellStyle name="Currency 3" xfId="12" xr:uid="{7EAAD694-CE8D-49EC-9ACA-572D1255B77C}"/>
    <cellStyle name="Currency 4" xfId="15" xr:uid="{C246ED8C-5FB8-44C8-AD2C-3ECE36098772}"/>
    <cellStyle name="Currency 5" xfId="16" xr:uid="{14D4344A-FD24-429C-9068-9D42CA2F2E49}"/>
    <cellStyle name="Currency 6" xfId="20" xr:uid="{FA2B79F4-48C9-4F33-8E57-FCA584C5E4DD}"/>
    <cellStyle name="Currency 7" xfId="23" xr:uid="{D8CDBB71-1132-47E8-BF92-347D4D7FBBB0}"/>
    <cellStyle name="Currency 8" xfId="25" xr:uid="{E7757C3A-4935-4D67-8789-E42A574FFA0F}"/>
    <cellStyle name="Currency 9" xfId="26" xr:uid="{8D6B1324-E794-4053-AABC-D7F7A025231A}"/>
    <cellStyle name="Normal" xfId="1" xr:uid="{D7CD9C8F-299B-4306-AB9B-3DCE3CB59F3C}"/>
    <cellStyle name="Percent" xfId="3" xr:uid="{42ACAD1D-B828-463A-B2AF-03E721492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Средний </a:t>
            </a:r>
            <a:r>
              <a:rPr lang="en-US" b="1"/>
              <a:t>NPS </a:t>
            </a:r>
            <a:r>
              <a:rPr lang="ru-RU" b="1"/>
              <a:t>по месяцам</a:t>
            </a:r>
            <a:r>
              <a:rPr lang="ru-RU" b="1" baseline="0"/>
              <a:t> </a:t>
            </a:r>
            <a:r>
              <a:rPr lang="ru-RU" b="1"/>
              <a:t>за</a:t>
            </a:r>
            <a:r>
              <a:rPr lang="ru-RU" b="1" baseline="0"/>
              <a:t> 2026  год</a:t>
            </a:r>
            <a:endParaRPr lang="ru-RU" b="1"/>
          </a:p>
        </c:rich>
      </c:tx>
      <c:layout>
        <c:manualLayout>
          <c:xMode val="edge"/>
          <c:yMode val="edge"/>
          <c:x val="0.22899231167804288"/>
          <c:y val="4.0338961640490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179971810924018E-2"/>
          <c:y val="0.17171296296296296"/>
          <c:w val="0.85191869991583125"/>
          <c:h val="0.51661198600174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'графика по среднему НПС'!$B$2</c:f>
              <c:strCache>
                <c:ptCount val="1"/>
                <c:pt idx="0">
                  <c:v>Тренинги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'графика по среднему НПС'!$C$1:$N$1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'графика по среднему НПС'!$C$2:$N$2</c:f>
              <c:numCache>
                <c:formatCode>General</c:formatCode>
                <c:ptCount val="12"/>
                <c:pt idx="0">
                  <c:v>79</c:v>
                </c:pt>
                <c:pt idx="1">
                  <c:v>77</c:v>
                </c:pt>
                <c:pt idx="2">
                  <c:v>90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3-4E7B-B5BD-BBBB88B8FDE3}"/>
            </c:ext>
          </c:extLst>
        </c:ser>
        <c:ser>
          <c:idx val="1"/>
          <c:order val="1"/>
          <c:tx>
            <c:strRef>
              <c:f>'графика по среднему НПС'!$B$3</c:f>
              <c:strCache>
                <c:ptCount val="1"/>
                <c:pt idx="0">
                  <c:v>Фабрики процессов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'графика по среднему НПС'!$C$1:$N$1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'графика по среднему НПС'!$C$3:$N$3</c:f>
              <c:numCache>
                <c:formatCode>General</c:formatCode>
                <c:ptCount val="12"/>
                <c:pt idx="0">
                  <c:v>88</c:v>
                </c:pt>
                <c:pt idx="1">
                  <c:v>88</c:v>
                </c:pt>
                <c:pt idx="2">
                  <c:v>96</c:v>
                </c:pt>
                <c:pt idx="3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3-4E7B-B5BD-BBBB88B8F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5514255"/>
        <c:axId val="1155520495"/>
      </c:barChart>
      <c:catAx>
        <c:axId val="115551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520495"/>
        <c:crosses val="autoZero"/>
        <c:auto val="1"/>
        <c:lblAlgn val="ctr"/>
        <c:lblOffset val="100"/>
        <c:noMultiLvlLbl val="0"/>
      </c:catAx>
      <c:valAx>
        <c:axId val="115552049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51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Тенденция</a:t>
            </a:r>
            <a:r>
              <a:rPr lang="ru-RU" b="1" baseline="0"/>
              <a:t> уровня </a:t>
            </a:r>
            <a:r>
              <a:rPr lang="en-US" b="1" baseline="0"/>
              <a:t>NPS</a:t>
            </a:r>
            <a:r>
              <a:rPr lang="ru-RU" b="1" baseline="0"/>
              <a:t> за 2026 год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1977827680486588E-2"/>
          <c:y val="7.0319473523362833E-2"/>
          <c:w val="0.94802217231951336"/>
          <c:h val="0.81190075562049291"/>
        </c:manualLayout>
      </c:layout>
      <c:lineChart>
        <c:grouping val="standard"/>
        <c:varyColors val="0"/>
        <c:ser>
          <c:idx val="0"/>
          <c:order val="0"/>
          <c:tx>
            <c:strRef>
              <c:f>'графика по среднему НПС'!$B$2</c:f>
              <c:strCache>
                <c:ptCount val="1"/>
                <c:pt idx="0">
                  <c:v>Тренинги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'графика по среднему НПС'!$C$2:$N$2</c:f>
              <c:numCache>
                <c:formatCode>General</c:formatCode>
                <c:ptCount val="12"/>
                <c:pt idx="0">
                  <c:v>79</c:v>
                </c:pt>
                <c:pt idx="1">
                  <c:v>77</c:v>
                </c:pt>
                <c:pt idx="2">
                  <c:v>90</c:v>
                </c:pt>
                <c:pt idx="3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E-4D97-B383-B7FE58C49E4A}"/>
            </c:ext>
          </c:extLst>
        </c:ser>
        <c:ser>
          <c:idx val="1"/>
          <c:order val="1"/>
          <c:tx>
            <c:strRef>
              <c:f>'графика по среднему НПС'!$B$3</c:f>
              <c:strCache>
                <c:ptCount val="1"/>
                <c:pt idx="0">
                  <c:v>Фабрики процессов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'графика по среднему НПС'!$C$3:$N$3</c:f>
              <c:numCache>
                <c:formatCode>General</c:formatCode>
                <c:ptCount val="12"/>
                <c:pt idx="0">
                  <c:v>88</c:v>
                </c:pt>
                <c:pt idx="1">
                  <c:v>88</c:v>
                </c:pt>
                <c:pt idx="2">
                  <c:v>96</c:v>
                </c:pt>
                <c:pt idx="3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6E-4D97-B383-B7FE58C49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754143"/>
        <c:axId val="326747903"/>
      </c:lineChart>
      <c:catAx>
        <c:axId val="32675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6747903"/>
        <c:crosses val="autoZero"/>
        <c:auto val="1"/>
        <c:lblAlgn val="ctr"/>
        <c:lblOffset val="100"/>
        <c:noMultiLvlLbl val="0"/>
      </c:catAx>
      <c:valAx>
        <c:axId val="3267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675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Динамика </a:t>
            </a:r>
            <a:r>
              <a:rPr lang="en-US" b="1"/>
              <a:t>NPS </a:t>
            </a:r>
            <a:r>
              <a:rPr lang="ru-RU" b="1"/>
              <a:t>тренеров за 2026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6361630764263806E-2"/>
          <c:y val="0.13197929404406131"/>
          <c:w val="0.93997094326762687"/>
          <c:h val="0.645892496415787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'Графика по НПС тренеров'!$B$2</c:f>
              <c:strCache>
                <c:ptCount val="1"/>
                <c:pt idx="0">
                  <c:v>Васильева С.В.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'Графика по НПС тренеров'!$C$1:$O$1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по НПС тренеров'!$C$2:$O$2</c:f>
              <c:numCache>
                <c:formatCode>General</c:formatCode>
                <c:ptCount val="13"/>
                <c:pt idx="0">
                  <c:v>90</c:v>
                </c:pt>
                <c:pt idx="1">
                  <c:v>78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A-4992-89D4-4B7945869D90}"/>
            </c:ext>
          </c:extLst>
        </c:ser>
        <c:ser>
          <c:idx val="1"/>
          <c:order val="1"/>
          <c:tx>
            <c:strRef>
              <c:f>'Графика по НПС тренеров'!$B$3</c:f>
              <c:strCache>
                <c:ptCount val="1"/>
                <c:pt idx="0">
                  <c:v>Басанцова Н.В.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'Графика по НПС тренеров'!$C$1:$O$1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по НПС тренеров'!$C$3:$O$3</c:f>
              <c:numCache>
                <c:formatCode>General</c:formatCode>
                <c:ptCount val="13"/>
                <c:pt idx="1">
                  <c:v>85</c:v>
                </c:pt>
                <c:pt idx="2">
                  <c:v>80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A-4992-89D4-4B7945869D90}"/>
            </c:ext>
          </c:extLst>
        </c:ser>
        <c:ser>
          <c:idx val="2"/>
          <c:order val="2"/>
          <c:tx>
            <c:strRef>
              <c:f>'Графика по НПС тренеров'!$B$4</c:f>
              <c:strCache>
                <c:ptCount val="1"/>
                <c:pt idx="0">
                  <c:v>Туранов К.Д.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'Графика по НПС тренеров'!$C$1:$O$1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по НПС тренеров'!$C$4:$O$4</c:f>
              <c:numCache>
                <c:formatCode>General</c:formatCode>
                <c:ptCount val="13"/>
                <c:pt idx="1">
                  <c:v>76</c:v>
                </c:pt>
                <c:pt idx="2">
                  <c:v>90</c:v>
                </c:pt>
                <c:pt idx="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4A-4992-89D4-4B7945869D90}"/>
            </c:ext>
          </c:extLst>
        </c:ser>
        <c:ser>
          <c:idx val="3"/>
          <c:order val="3"/>
          <c:tx>
            <c:strRef>
              <c:f>'Графика по НПС тренеров'!$B$5</c:f>
              <c:strCache>
                <c:ptCount val="1"/>
                <c:pt idx="0">
                  <c:v>Уваров К.А.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'Графика по НПС тренеров'!$C$1:$O$1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по НПС тренеров'!$C$5:$O$5</c:f>
              <c:numCache>
                <c:formatCode>General</c:formatCode>
                <c:ptCount val="13"/>
                <c:pt idx="0">
                  <c:v>57</c:v>
                </c:pt>
                <c:pt idx="1">
                  <c:v>78</c:v>
                </c:pt>
                <c:pt idx="2">
                  <c:v>85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4A-4992-89D4-4B7945869D90}"/>
            </c:ext>
          </c:extLst>
        </c:ser>
        <c:ser>
          <c:idx val="4"/>
          <c:order val="4"/>
          <c:tx>
            <c:strRef>
              <c:f>'Графика по НПС тренеров'!$B$6</c:f>
              <c:strCache>
                <c:ptCount val="1"/>
                <c:pt idx="0">
                  <c:v>Хлебников А.В.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'Графика по НПС тренеров'!$C$1:$O$1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по НПС тренеров'!$C$6:$O$6</c:f>
              <c:numCache>
                <c:formatCode>General</c:formatCode>
                <c:ptCount val="13"/>
                <c:pt idx="0">
                  <c:v>74</c:v>
                </c:pt>
                <c:pt idx="1">
                  <c:v>76</c:v>
                </c:pt>
                <c:pt idx="2">
                  <c:v>94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4A-4992-89D4-4B7945869D90}"/>
            </c:ext>
          </c:extLst>
        </c:ser>
        <c:ser>
          <c:idx val="5"/>
          <c:order val="5"/>
          <c:tx>
            <c:strRef>
              <c:f>'Графика по НПС тренеров'!$B$7</c:f>
              <c:strCache>
                <c:ptCount val="1"/>
                <c:pt idx="0">
                  <c:v>Осман А.А.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'Графика по НПС тренеров'!$C$1:$O$1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по НПС тренеров'!$C$7:$O$7</c:f>
              <c:numCache>
                <c:formatCode>General</c:formatCode>
                <c:ptCount val="13"/>
                <c:pt idx="0">
                  <c:v>80</c:v>
                </c:pt>
                <c:pt idx="1">
                  <c:v>75</c:v>
                </c:pt>
                <c:pt idx="2">
                  <c:v>86</c:v>
                </c:pt>
                <c:pt idx="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4A-4992-89D4-4B7945869D90}"/>
            </c:ext>
          </c:extLst>
        </c:ser>
        <c:ser>
          <c:idx val="6"/>
          <c:order val="6"/>
          <c:tx>
            <c:strRef>
              <c:f>'Графика по НПС тренеров'!$B$8</c:f>
              <c:strCache>
                <c:ptCount val="1"/>
                <c:pt idx="0">
                  <c:v>Чуприков С.О.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'Графика по НПС тренеров'!$C$1:$O$1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по НПС тренеров'!$C$8:$O$8</c:f>
              <c:numCache>
                <c:formatCode>General</c:formatCode>
                <c:ptCount val="13"/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4A-4992-89D4-4B7945869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285824"/>
        <c:axId val="1085293984"/>
      </c:barChart>
      <c:catAx>
        <c:axId val="108528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293984"/>
        <c:crosses val="autoZero"/>
        <c:auto val="1"/>
        <c:lblAlgn val="ctr"/>
        <c:lblOffset val="100"/>
        <c:noMultiLvlLbl val="0"/>
      </c:catAx>
      <c:valAx>
        <c:axId val="108529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28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1228725</xdr:colOff>
      <xdr:row>4</xdr:row>
      <xdr:rowOff>22224</xdr:rowOff>
    </xdr:from>
    <xdr:to>
      <xdr:col>14</xdr:col>
      <xdr:colOff>819150</xdr:colOff>
      <xdr:row>33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90A43F0-17D4-450A-9A0B-0AC795F3C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304800</xdr:colOff>
      <xdr:row>2</xdr:row>
      <xdr:rowOff>119062</xdr:rowOff>
    </xdr:from>
    <xdr:to>
      <xdr:col>32</xdr:col>
      <xdr:colOff>209549</xdr:colOff>
      <xdr:row>32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185D944-EDF2-F1BE-28B7-16A420766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0.06894</cdr:x>
      <cdr:y>0.29977</cdr:y>
    </cdr:from>
    <cdr:to>
      <cdr:x>0.92283</cdr:x>
      <cdr:y>0.29977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85F8BA3E-32FE-40C0-9494-A2155DA7E143}"/>
            </a:ext>
          </a:extLst>
        </cdr:cNvPr>
        <cdr:cNvCxnSpPr/>
      </cdr:nvCxnSpPr>
      <cdr:spPr>
        <a:xfrm xmlns:a="http://schemas.openxmlformats.org/drawingml/2006/main">
          <a:off x="346076" y="822325"/>
          <a:ext cx="4286250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accent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0.91597</cdr:x>
      <cdr:y>0.26042</cdr:y>
    </cdr:from>
    <cdr:to>
      <cdr:x>1</cdr:x>
      <cdr:y>0.33218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78CB25B-ABC7-4164-88CB-8A1CDB7834D1}"/>
            </a:ext>
          </a:extLst>
        </cdr:cNvPr>
        <cdr:cNvSpPr txBox="1"/>
      </cdr:nvSpPr>
      <cdr:spPr>
        <a:xfrm xmlns:a="http://schemas.openxmlformats.org/drawingml/2006/main">
          <a:off x="4597882" y="714375"/>
          <a:ext cx="421792" cy="196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100" b="1">
              <a:solidFill>
                <a:schemeClr val="accent6"/>
              </a:solidFill>
            </a:rPr>
            <a:t>75%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1171575</xdr:colOff>
      <xdr:row>9</xdr:row>
      <xdr:rowOff>138111</xdr:rowOff>
    </xdr:from>
    <xdr:to>
      <xdr:col>15</xdr:col>
      <xdr:colOff>0</xdr:colOff>
      <xdr:row>27</xdr:row>
      <xdr:rowOff>85724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CA481E7-7A46-768C-C77E-432E1D539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266700</xdr:colOff>
      <xdr:row>16</xdr:row>
      <xdr:rowOff>177800</xdr:rowOff>
    </xdr:from>
    <xdr:to>
      <xdr:col>14</xdr:col>
      <xdr:colOff>857250</xdr:colOff>
      <xdr:row>17</xdr:row>
      <xdr:rowOff>3175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9D84E298-F0AE-47CE-C262-143D2A11CFFE}"/>
            </a:ext>
          </a:extLst>
        </xdr:cNvPr>
        <xdr:cNvCxnSpPr/>
      </xdr:nvCxnSpPr>
      <xdr:spPr>
        <a:xfrm>
          <a:off x="2190750" y="3124200"/>
          <a:ext cx="7905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0.90774</cdr:x>
      <cdr:y>0.33501</cdr:y>
    </cdr:from>
    <cdr:to>
      <cdr:x>1</cdr:x>
      <cdr:y>0.39707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29F6F9B-4FA4-1FE9-44B9-9E80259EA946}"/>
            </a:ext>
          </a:extLst>
        </cdr:cNvPr>
        <cdr:cNvSpPr txBox="1"/>
      </cdr:nvSpPr>
      <cdr:spPr>
        <a:xfrm xmlns:a="http://schemas.openxmlformats.org/drawingml/2006/main">
          <a:off x="7686493" y="1092906"/>
          <a:ext cx="781232" cy="202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 b="1" kern="1200">
              <a:solidFill>
                <a:srgbClr val="00B050"/>
              </a:solidFill>
            </a:rPr>
            <a:t>70%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"/>
  <sheetViews>
    <sheetView topLeftCell="A18" zoomScaleNormal="100" workbookViewId="0">
      <selection activeCell="F2" sqref="F2"/>
    </sheetView>
  </sheetViews>
  <sheetFormatPr baseColWidth="10" defaultColWidth="8.83203125" defaultRowHeight="15" x14ac:dyDescent="0.2"/>
  <cols>
    <col min="1" max="1" width="6.83203125" customWidth="1"/>
    <col min="2" max="2" width="22.83203125" customWidth="1"/>
    <col min="3" max="3" width="12.5" customWidth="1"/>
    <col min="15" max="15" width="13.83203125" customWidth="1"/>
  </cols>
  <sheetData>
    <row r="1" spans="2:15" x14ac:dyDescent="0.2"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2:15" x14ac:dyDescent="0.2">
      <c r="B2" s="16" t="s">
        <v>0</v>
      </c>
      <c r="C2" s="2">
        <v>79</v>
      </c>
      <c r="D2" s="2">
        <v>77</v>
      </c>
      <c r="E2" s="2">
        <v>90</v>
      </c>
      <c r="F2" s="2">
        <v>87</v>
      </c>
      <c r="G2" s="1"/>
      <c r="H2" s="1"/>
      <c r="I2" s="1"/>
      <c r="J2" s="1"/>
      <c r="K2" s="1"/>
      <c r="L2" s="1"/>
      <c r="M2" s="1"/>
      <c r="N2" s="1"/>
      <c r="O2" s="2"/>
    </row>
    <row r="3" spans="2:15" x14ac:dyDescent="0.2">
      <c r="B3" s="16" t="s">
        <v>1</v>
      </c>
      <c r="C3" s="2">
        <v>88</v>
      </c>
      <c r="D3" s="2">
        <v>88</v>
      </c>
      <c r="E3" s="2">
        <v>96</v>
      </c>
      <c r="F3" s="2">
        <v>89</v>
      </c>
      <c r="G3" s="1"/>
      <c r="H3" s="1"/>
      <c r="I3" s="1"/>
      <c r="J3" s="1"/>
      <c r="K3" s="1"/>
      <c r="L3" s="1"/>
      <c r="M3" s="1"/>
      <c r="N3" s="1"/>
      <c r="O3" s="2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  <colBreaks count="1" manualBreakCount="1">
    <brk id="16" max="5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9A6D-57DA-48BA-88DD-73A80AA644D0}">
  <dimension ref="A1:O12"/>
  <sheetViews>
    <sheetView workbookViewId="0">
      <selection activeCell="G15" sqref="G15"/>
    </sheetView>
  </sheetViews>
  <sheetFormatPr baseColWidth="10" defaultColWidth="8.83203125" defaultRowHeight="15" x14ac:dyDescent="0.2"/>
  <cols>
    <col min="2" max="2" width="15.33203125" customWidth="1"/>
  </cols>
  <sheetData>
    <row r="1" spans="1:15" x14ac:dyDescent="0.2">
      <c r="B1" s="15" t="s">
        <v>26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27</v>
      </c>
    </row>
    <row r="2" spans="1:15" x14ac:dyDescent="0.2">
      <c r="A2" s="73" t="s">
        <v>28</v>
      </c>
      <c r="B2" s="17" t="s">
        <v>16</v>
      </c>
      <c r="C2" s="2">
        <v>74</v>
      </c>
      <c r="D2" s="2">
        <v>78</v>
      </c>
      <c r="E2" s="2">
        <v>90</v>
      </c>
      <c r="F2" s="2">
        <v>89</v>
      </c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73"/>
      <c r="B3" s="17" t="s">
        <v>18</v>
      </c>
      <c r="C3" s="2">
        <v>84</v>
      </c>
      <c r="D3" s="2">
        <v>83</v>
      </c>
      <c r="E3" s="2">
        <v>88</v>
      </c>
      <c r="F3" s="2">
        <v>93</v>
      </c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73"/>
      <c r="B4" s="17" t="s">
        <v>19</v>
      </c>
      <c r="C4" s="2">
        <v>75</v>
      </c>
      <c r="D4" s="2">
        <v>80</v>
      </c>
      <c r="E4" s="2">
        <v>89</v>
      </c>
      <c r="F4" s="2">
        <v>100</v>
      </c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73"/>
      <c r="B5" s="17" t="s">
        <v>20</v>
      </c>
      <c r="C5" s="2">
        <v>90</v>
      </c>
      <c r="D5" s="2">
        <v>74</v>
      </c>
      <c r="E5" s="2">
        <v>90</v>
      </c>
      <c r="F5" s="3">
        <v>67</v>
      </c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73"/>
      <c r="B6" s="17" t="s">
        <v>21</v>
      </c>
      <c r="C6" s="1"/>
      <c r="D6" s="2">
        <v>74</v>
      </c>
      <c r="E6" s="2">
        <v>92</v>
      </c>
      <c r="F6" s="2">
        <v>95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73" t="s">
        <v>29</v>
      </c>
      <c r="B7" s="18" t="s">
        <v>23</v>
      </c>
      <c r="C7" s="1"/>
      <c r="D7" s="1"/>
      <c r="E7" s="2">
        <v>86</v>
      </c>
      <c r="F7" s="2">
        <v>82</v>
      </c>
      <c r="G7" s="29"/>
      <c r="H7" s="1"/>
      <c r="I7" s="1"/>
      <c r="J7" s="1"/>
      <c r="K7" s="1"/>
      <c r="L7" s="1"/>
      <c r="M7" s="1"/>
      <c r="N7" s="1"/>
      <c r="O7" s="1"/>
    </row>
    <row r="8" spans="1:15" x14ac:dyDescent="0.2">
      <c r="A8" s="73"/>
      <c r="B8" s="18" t="s">
        <v>25</v>
      </c>
      <c r="C8" s="1"/>
      <c r="D8" s="1"/>
      <c r="E8" s="1"/>
      <c r="F8" s="2">
        <v>93</v>
      </c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73"/>
      <c r="B9" s="18" t="s">
        <v>24</v>
      </c>
      <c r="C9" s="1"/>
      <c r="D9" s="1"/>
      <c r="E9" s="1"/>
      <c r="F9" s="2">
        <v>85</v>
      </c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73"/>
      <c r="B10" s="18" t="s">
        <v>30</v>
      </c>
      <c r="C10" s="1"/>
      <c r="D10" s="1"/>
      <c r="E10" s="1"/>
      <c r="F10" s="2">
        <v>88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ht="26.25" customHeight="1" x14ac:dyDescent="0.2">
      <c r="A11" s="73"/>
      <c r="B11" s="18" t="s">
        <v>31</v>
      </c>
      <c r="C11" s="1"/>
      <c r="D11" s="1"/>
      <c r="E11" s="2">
        <v>100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B12" s="19" t="s">
        <v>32</v>
      </c>
      <c r="C12" s="2">
        <v>88</v>
      </c>
      <c r="D12" s="2">
        <v>88</v>
      </c>
      <c r="E12" s="2">
        <v>96</v>
      </c>
      <c r="F12" s="2">
        <v>89</v>
      </c>
      <c r="G12" s="1"/>
      <c r="H12" s="1"/>
      <c r="I12" s="1"/>
      <c r="J12" s="1"/>
      <c r="K12" s="1"/>
      <c r="L12" s="1"/>
      <c r="M12" s="1"/>
      <c r="N12" s="1"/>
      <c r="O12" s="1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2D04-DF2D-43AE-B6EE-4544B3BC6CA0}">
  <dimension ref="A1:N91"/>
  <sheetViews>
    <sheetView topLeftCell="A73" workbookViewId="0">
      <selection activeCell="E91" sqref="E91"/>
    </sheetView>
  </sheetViews>
  <sheetFormatPr baseColWidth="10" defaultColWidth="8.83203125" defaultRowHeight="15" x14ac:dyDescent="0.2"/>
  <cols>
    <col min="3" max="3" width="25" customWidth="1"/>
    <col min="4" max="4" width="18.6640625" customWidth="1"/>
    <col min="5" max="5" width="35" customWidth="1"/>
  </cols>
  <sheetData>
    <row r="1" spans="1:11" x14ac:dyDescent="0.2">
      <c r="A1" s="30">
        <v>1</v>
      </c>
      <c r="B1" s="4">
        <v>22</v>
      </c>
      <c r="C1" s="5" t="s">
        <v>42</v>
      </c>
      <c r="D1" s="5" t="s">
        <v>16</v>
      </c>
      <c r="E1" s="6" t="s">
        <v>48</v>
      </c>
      <c r="F1" s="24">
        <v>11</v>
      </c>
      <c r="G1" s="24">
        <v>10</v>
      </c>
      <c r="H1" s="24">
        <v>0</v>
      </c>
      <c r="I1" s="24">
        <v>9</v>
      </c>
      <c r="J1" s="9">
        <f t="shared" ref="J1:J10" si="0">IFERROR(I1/G1-H1/G1,"")</f>
        <v>0.9</v>
      </c>
      <c r="K1" s="73">
        <v>90</v>
      </c>
    </row>
    <row r="2" spans="1:11" x14ac:dyDescent="0.2">
      <c r="A2" s="30">
        <v>1</v>
      </c>
      <c r="B2" s="4">
        <v>26</v>
      </c>
      <c r="C2" s="5" t="s">
        <v>42</v>
      </c>
      <c r="D2" s="5" t="s">
        <v>18</v>
      </c>
      <c r="E2" s="6" t="s">
        <v>48</v>
      </c>
      <c r="F2" s="24">
        <v>10</v>
      </c>
      <c r="G2" s="24">
        <v>9</v>
      </c>
      <c r="H2" s="24">
        <v>0</v>
      </c>
      <c r="I2" s="24">
        <v>8</v>
      </c>
      <c r="J2" s="9">
        <f t="shared" si="0"/>
        <v>0.88888888888888884</v>
      </c>
      <c r="K2" s="73"/>
    </row>
    <row r="3" spans="1:11" x14ac:dyDescent="0.2">
      <c r="A3" s="30">
        <v>1</v>
      </c>
      <c r="B3" s="4">
        <v>29</v>
      </c>
      <c r="C3" s="7" t="s">
        <v>42</v>
      </c>
      <c r="D3" s="7" t="s">
        <v>20</v>
      </c>
      <c r="E3" s="8" t="s">
        <v>48</v>
      </c>
      <c r="F3" s="23">
        <v>10</v>
      </c>
      <c r="G3" s="23">
        <v>10</v>
      </c>
      <c r="H3" s="23">
        <v>0</v>
      </c>
      <c r="I3" s="23">
        <v>9</v>
      </c>
      <c r="J3" s="9">
        <f t="shared" si="0"/>
        <v>0.9</v>
      </c>
      <c r="K3" s="73"/>
    </row>
    <row r="4" spans="1:11" x14ac:dyDescent="0.2">
      <c r="A4" s="30">
        <v>1</v>
      </c>
      <c r="B4" s="4">
        <v>27</v>
      </c>
      <c r="C4" s="5" t="s">
        <v>45</v>
      </c>
      <c r="D4" s="5" t="s">
        <v>18</v>
      </c>
      <c r="E4" s="6" t="s">
        <v>46</v>
      </c>
      <c r="F4" s="24">
        <v>14</v>
      </c>
      <c r="G4" s="24">
        <v>14</v>
      </c>
      <c r="H4" s="24">
        <v>1</v>
      </c>
      <c r="I4" s="24">
        <v>13</v>
      </c>
      <c r="J4" s="9">
        <f t="shared" si="0"/>
        <v>0.85714285714285721</v>
      </c>
      <c r="K4" s="73">
        <v>80</v>
      </c>
    </row>
    <row r="5" spans="1:11" x14ac:dyDescent="0.2">
      <c r="A5" s="22">
        <v>1</v>
      </c>
      <c r="B5" s="4">
        <v>20</v>
      </c>
      <c r="C5" s="5" t="s">
        <v>45</v>
      </c>
      <c r="D5" s="5" t="s">
        <v>16</v>
      </c>
      <c r="E5" s="6" t="s">
        <v>46</v>
      </c>
      <c r="F5" s="25">
        <v>13</v>
      </c>
      <c r="G5" s="25">
        <v>13</v>
      </c>
      <c r="H5" s="25">
        <v>1</v>
      </c>
      <c r="I5" s="25">
        <v>11</v>
      </c>
      <c r="J5" s="9">
        <f t="shared" si="0"/>
        <v>0.76923076923076916</v>
      </c>
      <c r="K5" s="73"/>
    </row>
    <row r="6" spans="1:11" x14ac:dyDescent="0.2">
      <c r="A6" s="30">
        <v>1</v>
      </c>
      <c r="B6" s="4">
        <v>27</v>
      </c>
      <c r="C6" s="7" t="s">
        <v>45</v>
      </c>
      <c r="D6" s="7" t="s">
        <v>19</v>
      </c>
      <c r="E6" s="8" t="s">
        <v>46</v>
      </c>
      <c r="F6" s="23">
        <v>14</v>
      </c>
      <c r="G6" s="23">
        <v>14</v>
      </c>
      <c r="H6" s="23">
        <v>1</v>
      </c>
      <c r="I6" s="23">
        <v>12</v>
      </c>
      <c r="J6" s="9">
        <f t="shared" si="0"/>
        <v>0.7857142857142857</v>
      </c>
      <c r="K6" s="73"/>
    </row>
    <row r="7" spans="1:11" x14ac:dyDescent="0.2">
      <c r="A7" s="30">
        <v>1</v>
      </c>
      <c r="B7" s="4">
        <v>28</v>
      </c>
      <c r="C7" s="7" t="s">
        <v>22</v>
      </c>
      <c r="D7" s="7" t="s">
        <v>16</v>
      </c>
      <c r="E7" s="8" t="s">
        <v>49</v>
      </c>
      <c r="F7" s="26">
        <v>10</v>
      </c>
      <c r="G7" s="26">
        <v>7</v>
      </c>
      <c r="H7" s="26">
        <v>0</v>
      </c>
      <c r="I7" s="26">
        <v>4</v>
      </c>
      <c r="J7" s="27">
        <f t="shared" si="0"/>
        <v>0.5714285714285714</v>
      </c>
      <c r="K7" s="23">
        <v>57</v>
      </c>
    </row>
    <row r="8" spans="1:11" x14ac:dyDescent="0.2">
      <c r="A8" s="30">
        <v>1</v>
      </c>
      <c r="B8" s="4">
        <v>22</v>
      </c>
      <c r="C8" s="7" t="s">
        <v>34</v>
      </c>
      <c r="D8" s="7" t="s">
        <v>16</v>
      </c>
      <c r="E8" s="8" t="s">
        <v>47</v>
      </c>
      <c r="F8" s="26">
        <v>17</v>
      </c>
      <c r="G8" s="26">
        <v>15</v>
      </c>
      <c r="H8" s="26">
        <v>0</v>
      </c>
      <c r="I8" s="26">
        <v>11</v>
      </c>
      <c r="J8" s="9">
        <f t="shared" si="0"/>
        <v>0.73333333333333328</v>
      </c>
      <c r="K8" s="73">
        <v>74</v>
      </c>
    </row>
    <row r="9" spans="1:11" x14ac:dyDescent="0.2">
      <c r="A9" s="30">
        <v>1</v>
      </c>
      <c r="B9" s="4">
        <v>28</v>
      </c>
      <c r="C9" s="7" t="s">
        <v>34</v>
      </c>
      <c r="D9" s="7" t="s">
        <v>18</v>
      </c>
      <c r="E9" s="8" t="s">
        <v>47</v>
      </c>
      <c r="F9" s="26">
        <v>18</v>
      </c>
      <c r="G9" s="26">
        <v>17</v>
      </c>
      <c r="H9" s="26">
        <v>0</v>
      </c>
      <c r="I9" s="26">
        <v>13</v>
      </c>
      <c r="J9" s="9">
        <f t="shared" si="0"/>
        <v>0.76470588235294112</v>
      </c>
      <c r="K9" s="73"/>
    </row>
    <row r="10" spans="1:11" x14ac:dyDescent="0.2">
      <c r="A10" s="30">
        <v>1</v>
      </c>
      <c r="B10" s="4">
        <v>28</v>
      </c>
      <c r="C10" s="5" t="s">
        <v>34</v>
      </c>
      <c r="D10" s="5" t="s">
        <v>19</v>
      </c>
      <c r="E10" s="6" t="s">
        <v>47</v>
      </c>
      <c r="F10" s="25">
        <v>18</v>
      </c>
      <c r="G10" s="25">
        <v>18</v>
      </c>
      <c r="H10" s="25">
        <v>1</v>
      </c>
      <c r="I10" s="25">
        <v>14</v>
      </c>
      <c r="J10" s="9">
        <f t="shared" si="0"/>
        <v>0.72222222222222221</v>
      </c>
      <c r="K10" s="73"/>
    </row>
    <row r="11" spans="1:11" x14ac:dyDescent="0.2">
      <c r="A11" s="21">
        <v>2</v>
      </c>
      <c r="B11" s="10">
        <v>19</v>
      </c>
      <c r="C11" s="11" t="s">
        <v>17</v>
      </c>
      <c r="D11" s="11" t="s">
        <v>19</v>
      </c>
      <c r="E11" s="31" t="s">
        <v>50</v>
      </c>
      <c r="F11" s="28">
        <v>7</v>
      </c>
      <c r="G11" s="28">
        <v>7</v>
      </c>
      <c r="H11" s="28">
        <v>0</v>
      </c>
      <c r="I11" s="28">
        <v>6</v>
      </c>
      <c r="J11" s="32">
        <f t="shared" ref="J11:J42" si="1">IFERROR(I11/G11-H11/G11,"")</f>
        <v>0.8571428571428571</v>
      </c>
      <c r="K11" s="74">
        <v>85</v>
      </c>
    </row>
    <row r="12" spans="1:11" x14ac:dyDescent="0.2">
      <c r="A12" s="20">
        <v>2</v>
      </c>
      <c r="B12" s="10">
        <v>12</v>
      </c>
      <c r="C12" s="11" t="s">
        <v>17</v>
      </c>
      <c r="D12" s="11" t="s">
        <v>16</v>
      </c>
      <c r="E12" s="31" t="s">
        <v>50</v>
      </c>
      <c r="F12" s="23">
        <v>7</v>
      </c>
      <c r="G12" s="23">
        <v>6</v>
      </c>
      <c r="H12" s="23">
        <v>0</v>
      </c>
      <c r="I12" s="23">
        <v>5</v>
      </c>
      <c r="J12" s="32">
        <f t="shared" si="1"/>
        <v>0.83333333333333337</v>
      </c>
      <c r="K12" s="74"/>
    </row>
    <row r="13" spans="1:11" x14ac:dyDescent="0.2">
      <c r="A13" s="20">
        <v>2</v>
      </c>
      <c r="B13" s="10">
        <v>19</v>
      </c>
      <c r="C13" s="11" t="s">
        <v>17</v>
      </c>
      <c r="D13" s="11" t="s">
        <v>18</v>
      </c>
      <c r="E13" s="31" t="s">
        <v>50</v>
      </c>
      <c r="F13" s="23">
        <v>7</v>
      </c>
      <c r="G13" s="23">
        <v>7</v>
      </c>
      <c r="H13" s="23">
        <v>0</v>
      </c>
      <c r="I13" s="23">
        <v>6</v>
      </c>
      <c r="J13" s="32">
        <f t="shared" si="1"/>
        <v>0.8571428571428571</v>
      </c>
      <c r="K13" s="74"/>
    </row>
    <row r="14" spans="1:11" x14ac:dyDescent="0.2">
      <c r="A14" s="20">
        <v>2</v>
      </c>
      <c r="B14" s="10">
        <v>5</v>
      </c>
      <c r="C14" s="11" t="s">
        <v>42</v>
      </c>
      <c r="D14" s="11" t="s">
        <v>19</v>
      </c>
      <c r="E14" s="31" t="s">
        <v>48</v>
      </c>
      <c r="F14" s="23">
        <v>11</v>
      </c>
      <c r="G14" s="23">
        <v>10</v>
      </c>
      <c r="H14" s="23">
        <v>0</v>
      </c>
      <c r="I14" s="23">
        <v>8</v>
      </c>
      <c r="J14" s="32">
        <f t="shared" si="1"/>
        <v>0.8</v>
      </c>
      <c r="K14" s="74">
        <v>78</v>
      </c>
    </row>
    <row r="15" spans="1:11" x14ac:dyDescent="0.2">
      <c r="A15" s="20">
        <v>2</v>
      </c>
      <c r="B15" s="10">
        <v>5</v>
      </c>
      <c r="C15" s="11" t="s">
        <v>42</v>
      </c>
      <c r="D15" s="11" t="s">
        <v>21</v>
      </c>
      <c r="E15" s="31" t="s">
        <v>48</v>
      </c>
      <c r="F15" s="23">
        <v>11</v>
      </c>
      <c r="G15" s="23">
        <v>8</v>
      </c>
      <c r="H15" s="23">
        <v>0</v>
      </c>
      <c r="I15" s="23">
        <v>6</v>
      </c>
      <c r="J15" s="32">
        <f t="shared" si="1"/>
        <v>0.75</v>
      </c>
      <c r="K15" s="74"/>
    </row>
    <row r="16" spans="1:11" x14ac:dyDescent="0.2">
      <c r="A16" s="21">
        <v>2</v>
      </c>
      <c r="B16" s="10">
        <v>26</v>
      </c>
      <c r="C16" s="11" t="s">
        <v>45</v>
      </c>
      <c r="D16" s="11" t="s">
        <v>19</v>
      </c>
      <c r="E16" s="31" t="s">
        <v>53</v>
      </c>
      <c r="F16" s="23">
        <v>5</v>
      </c>
      <c r="G16" s="23">
        <v>4</v>
      </c>
      <c r="H16" s="23">
        <v>0</v>
      </c>
      <c r="I16" s="23">
        <v>3</v>
      </c>
      <c r="J16" s="32">
        <f t="shared" si="1"/>
        <v>0.75</v>
      </c>
      <c r="K16" s="74">
        <v>75</v>
      </c>
    </row>
    <row r="17" spans="1:11" x14ac:dyDescent="0.2">
      <c r="A17" s="20">
        <v>2</v>
      </c>
      <c r="B17" s="10">
        <v>3</v>
      </c>
      <c r="C17" s="11" t="s">
        <v>45</v>
      </c>
      <c r="D17" s="11" t="s">
        <v>20</v>
      </c>
      <c r="E17" s="31" t="s">
        <v>46</v>
      </c>
      <c r="F17" s="23">
        <v>14</v>
      </c>
      <c r="G17" s="23">
        <v>14</v>
      </c>
      <c r="H17" s="23">
        <v>1</v>
      </c>
      <c r="I17" s="23">
        <v>11</v>
      </c>
      <c r="J17" s="32">
        <f t="shared" si="1"/>
        <v>0.7142857142857143</v>
      </c>
      <c r="K17" s="74"/>
    </row>
    <row r="18" spans="1:11" x14ac:dyDescent="0.2">
      <c r="A18" s="20">
        <v>2</v>
      </c>
      <c r="B18" s="10">
        <v>17</v>
      </c>
      <c r="C18" s="11" t="s">
        <v>45</v>
      </c>
      <c r="D18" s="11" t="s">
        <v>20</v>
      </c>
      <c r="E18" s="31" t="s">
        <v>50</v>
      </c>
      <c r="F18" s="23">
        <v>8</v>
      </c>
      <c r="G18" s="23">
        <v>7</v>
      </c>
      <c r="H18" s="23">
        <v>0</v>
      </c>
      <c r="I18" s="23">
        <v>5</v>
      </c>
      <c r="J18" s="32">
        <f t="shared" si="1"/>
        <v>0.7142857142857143</v>
      </c>
      <c r="K18" s="74"/>
    </row>
    <row r="19" spans="1:11" x14ac:dyDescent="0.2">
      <c r="A19" s="20">
        <v>2</v>
      </c>
      <c r="B19" s="10">
        <v>3</v>
      </c>
      <c r="C19" s="11" t="s">
        <v>45</v>
      </c>
      <c r="D19" s="11" t="s">
        <v>21</v>
      </c>
      <c r="E19" s="31" t="s">
        <v>46</v>
      </c>
      <c r="F19" s="23">
        <v>14</v>
      </c>
      <c r="G19" s="23">
        <v>14</v>
      </c>
      <c r="H19" s="23">
        <v>1</v>
      </c>
      <c r="I19" s="23">
        <v>11</v>
      </c>
      <c r="J19" s="32">
        <f t="shared" si="1"/>
        <v>0.7142857142857143</v>
      </c>
      <c r="K19" s="74"/>
    </row>
    <row r="20" spans="1:11" x14ac:dyDescent="0.2">
      <c r="A20" s="20">
        <v>2</v>
      </c>
      <c r="B20" s="10">
        <v>17</v>
      </c>
      <c r="C20" s="11" t="s">
        <v>45</v>
      </c>
      <c r="D20" s="11" t="s">
        <v>21</v>
      </c>
      <c r="E20" s="31" t="s">
        <v>50</v>
      </c>
      <c r="F20" s="23">
        <v>8</v>
      </c>
      <c r="G20" s="23">
        <v>8</v>
      </c>
      <c r="H20" s="23">
        <v>0</v>
      </c>
      <c r="I20" s="23">
        <v>6</v>
      </c>
      <c r="J20" s="32">
        <f t="shared" si="1"/>
        <v>0.75</v>
      </c>
      <c r="K20" s="74"/>
    </row>
    <row r="21" spans="1:11" x14ac:dyDescent="0.2">
      <c r="A21" s="21">
        <v>2</v>
      </c>
      <c r="B21" s="10">
        <v>26</v>
      </c>
      <c r="C21" s="11" t="s">
        <v>45</v>
      </c>
      <c r="D21" s="11" t="s">
        <v>18</v>
      </c>
      <c r="E21" s="12" t="s">
        <v>53</v>
      </c>
      <c r="F21" s="23">
        <v>7</v>
      </c>
      <c r="G21" s="23">
        <v>6</v>
      </c>
      <c r="H21" s="23">
        <v>0</v>
      </c>
      <c r="I21" s="23">
        <v>5</v>
      </c>
      <c r="J21" s="32">
        <f t="shared" si="1"/>
        <v>0.83333333333333337</v>
      </c>
      <c r="K21" s="74"/>
    </row>
    <row r="22" spans="1:11" x14ac:dyDescent="0.2">
      <c r="A22" s="21">
        <v>2</v>
      </c>
      <c r="B22" s="10">
        <v>25</v>
      </c>
      <c r="C22" s="11" t="s">
        <v>15</v>
      </c>
      <c r="D22" s="11" t="s">
        <v>19</v>
      </c>
      <c r="E22" s="31" t="s">
        <v>52</v>
      </c>
      <c r="F22" s="23">
        <v>11</v>
      </c>
      <c r="G22" s="23">
        <v>6</v>
      </c>
      <c r="H22" s="23">
        <v>0</v>
      </c>
      <c r="I22" s="23">
        <v>5</v>
      </c>
      <c r="J22" s="32">
        <f t="shared" si="1"/>
        <v>0.83333333333333337</v>
      </c>
      <c r="K22" s="74">
        <v>76</v>
      </c>
    </row>
    <row r="23" spans="1:11" x14ac:dyDescent="0.2">
      <c r="A23" s="21">
        <v>2</v>
      </c>
      <c r="B23" s="10">
        <v>26</v>
      </c>
      <c r="C23" s="11" t="s">
        <v>15</v>
      </c>
      <c r="D23" s="11" t="s">
        <v>20</v>
      </c>
      <c r="E23" s="31" t="s">
        <v>52</v>
      </c>
      <c r="F23" s="23">
        <v>13</v>
      </c>
      <c r="G23" s="23">
        <v>8</v>
      </c>
      <c r="H23" s="23">
        <v>0</v>
      </c>
      <c r="I23" s="23">
        <v>6</v>
      </c>
      <c r="J23" s="32">
        <f t="shared" si="1"/>
        <v>0.75</v>
      </c>
      <c r="K23" s="74"/>
    </row>
    <row r="24" spans="1:11" x14ac:dyDescent="0.2">
      <c r="A24" s="20">
        <v>2</v>
      </c>
      <c r="B24" s="10">
        <v>18</v>
      </c>
      <c r="C24" s="11" t="s">
        <v>15</v>
      </c>
      <c r="D24" s="11" t="s">
        <v>16</v>
      </c>
      <c r="E24" s="31" t="s">
        <v>52</v>
      </c>
      <c r="F24" s="23">
        <v>11</v>
      </c>
      <c r="G24" s="23">
        <v>8</v>
      </c>
      <c r="H24" s="23">
        <v>0</v>
      </c>
      <c r="I24" s="23">
        <v>6</v>
      </c>
      <c r="J24" s="32">
        <f t="shared" si="1"/>
        <v>0.75</v>
      </c>
      <c r="K24" s="74"/>
    </row>
    <row r="25" spans="1:11" x14ac:dyDescent="0.2">
      <c r="A25" s="21">
        <v>2</v>
      </c>
      <c r="B25" s="10">
        <v>26</v>
      </c>
      <c r="C25" s="11" t="s">
        <v>15</v>
      </c>
      <c r="D25" s="11" t="s">
        <v>21</v>
      </c>
      <c r="E25" s="12" t="s">
        <v>52</v>
      </c>
      <c r="F25" s="23">
        <v>13</v>
      </c>
      <c r="G25" s="23">
        <v>7</v>
      </c>
      <c r="H25" s="23">
        <v>0</v>
      </c>
      <c r="I25" s="23">
        <v>5</v>
      </c>
      <c r="J25" s="32">
        <f t="shared" si="1"/>
        <v>0.7142857142857143</v>
      </c>
      <c r="K25" s="74"/>
    </row>
    <row r="26" spans="1:11" x14ac:dyDescent="0.2">
      <c r="A26" s="21">
        <v>2</v>
      </c>
      <c r="B26" s="10">
        <v>25</v>
      </c>
      <c r="C26" s="11" t="s">
        <v>15</v>
      </c>
      <c r="D26" s="11" t="s">
        <v>18</v>
      </c>
      <c r="E26" s="12" t="s">
        <v>52</v>
      </c>
      <c r="F26" s="23">
        <v>12</v>
      </c>
      <c r="G26" s="23">
        <v>8</v>
      </c>
      <c r="H26" s="23">
        <v>0</v>
      </c>
      <c r="I26" s="23">
        <v>6</v>
      </c>
      <c r="J26" s="32">
        <f t="shared" si="1"/>
        <v>0.75</v>
      </c>
      <c r="K26" s="74"/>
    </row>
    <row r="27" spans="1:11" x14ac:dyDescent="0.2">
      <c r="A27" s="20">
        <v>2</v>
      </c>
      <c r="B27" s="10">
        <v>5</v>
      </c>
      <c r="C27" s="11" t="s">
        <v>22</v>
      </c>
      <c r="D27" s="11" t="s">
        <v>19</v>
      </c>
      <c r="E27" s="12" t="s">
        <v>49</v>
      </c>
      <c r="F27" s="23">
        <v>10</v>
      </c>
      <c r="G27" s="23">
        <v>8</v>
      </c>
      <c r="H27" s="23">
        <v>0</v>
      </c>
      <c r="I27" s="23">
        <v>6</v>
      </c>
      <c r="J27" s="32">
        <f t="shared" si="1"/>
        <v>0.75</v>
      </c>
      <c r="K27" s="74">
        <v>78</v>
      </c>
    </row>
    <row r="28" spans="1:11" x14ac:dyDescent="0.2">
      <c r="A28" s="20">
        <v>2</v>
      </c>
      <c r="B28" s="10">
        <v>10</v>
      </c>
      <c r="C28" s="11" t="s">
        <v>22</v>
      </c>
      <c r="D28" s="11" t="s">
        <v>20</v>
      </c>
      <c r="E28" s="12" t="s">
        <v>49</v>
      </c>
      <c r="F28" s="23">
        <v>10</v>
      </c>
      <c r="G28" s="23">
        <v>8</v>
      </c>
      <c r="H28" s="23">
        <v>0</v>
      </c>
      <c r="I28" s="23">
        <v>6</v>
      </c>
      <c r="J28" s="32">
        <f t="shared" si="1"/>
        <v>0.75</v>
      </c>
      <c r="K28" s="74"/>
    </row>
    <row r="29" spans="1:11" x14ac:dyDescent="0.2">
      <c r="A29" s="20">
        <v>2</v>
      </c>
      <c r="B29" s="10">
        <v>12</v>
      </c>
      <c r="C29" s="11" t="s">
        <v>22</v>
      </c>
      <c r="D29" s="11" t="s">
        <v>16</v>
      </c>
      <c r="E29" s="12" t="s">
        <v>51</v>
      </c>
      <c r="F29" s="23">
        <v>9</v>
      </c>
      <c r="G29" s="23">
        <v>7</v>
      </c>
      <c r="H29" s="23">
        <v>1</v>
      </c>
      <c r="I29" s="23">
        <v>5</v>
      </c>
      <c r="J29" s="33">
        <f t="shared" si="1"/>
        <v>0.5714285714285714</v>
      </c>
      <c r="K29" s="74"/>
    </row>
    <row r="30" spans="1:11" x14ac:dyDescent="0.2">
      <c r="A30" s="20">
        <v>2</v>
      </c>
      <c r="B30" s="10">
        <v>19</v>
      </c>
      <c r="C30" s="11" t="s">
        <v>22</v>
      </c>
      <c r="D30" s="11" t="s">
        <v>16</v>
      </c>
      <c r="E30" s="31" t="s">
        <v>53</v>
      </c>
      <c r="F30" s="23">
        <v>7</v>
      </c>
      <c r="G30" s="23">
        <v>7</v>
      </c>
      <c r="H30" s="23">
        <v>0</v>
      </c>
      <c r="I30" s="28">
        <v>6</v>
      </c>
      <c r="J30" s="32">
        <f t="shared" si="1"/>
        <v>0.8571428571428571</v>
      </c>
      <c r="K30" s="74"/>
    </row>
    <row r="31" spans="1:11" x14ac:dyDescent="0.2">
      <c r="A31" s="21">
        <v>2</v>
      </c>
      <c r="B31" s="10">
        <v>26</v>
      </c>
      <c r="C31" s="11" t="s">
        <v>22</v>
      </c>
      <c r="D31" s="11" t="s">
        <v>16</v>
      </c>
      <c r="E31" s="31" t="s">
        <v>54</v>
      </c>
      <c r="F31" s="23">
        <v>15</v>
      </c>
      <c r="G31" s="23">
        <v>10</v>
      </c>
      <c r="H31" s="23">
        <v>0</v>
      </c>
      <c r="I31" s="23">
        <v>9</v>
      </c>
      <c r="J31" s="32">
        <f t="shared" si="1"/>
        <v>0.9</v>
      </c>
      <c r="K31" s="74"/>
    </row>
    <row r="32" spans="1:11" x14ac:dyDescent="0.2">
      <c r="A32" s="20">
        <v>2</v>
      </c>
      <c r="B32" s="10">
        <v>10</v>
      </c>
      <c r="C32" s="11" t="s">
        <v>22</v>
      </c>
      <c r="D32" s="11" t="s">
        <v>21</v>
      </c>
      <c r="E32" s="31" t="s">
        <v>49</v>
      </c>
      <c r="F32" s="23">
        <v>10</v>
      </c>
      <c r="G32" s="23">
        <v>8</v>
      </c>
      <c r="H32" s="23">
        <v>0</v>
      </c>
      <c r="I32" s="23">
        <v>6</v>
      </c>
      <c r="J32" s="32">
        <f t="shared" si="1"/>
        <v>0.75</v>
      </c>
      <c r="K32" s="74"/>
    </row>
    <row r="33" spans="1:14" x14ac:dyDescent="0.2">
      <c r="A33" s="20">
        <v>2</v>
      </c>
      <c r="B33" s="10">
        <v>5</v>
      </c>
      <c r="C33" s="11" t="s">
        <v>22</v>
      </c>
      <c r="D33" s="11" t="s">
        <v>18</v>
      </c>
      <c r="E33" s="31" t="s">
        <v>49</v>
      </c>
      <c r="F33" s="23">
        <v>11</v>
      </c>
      <c r="G33" s="23">
        <v>8</v>
      </c>
      <c r="H33" s="23">
        <v>0</v>
      </c>
      <c r="I33" s="23">
        <v>7</v>
      </c>
      <c r="J33" s="32">
        <f t="shared" si="1"/>
        <v>0.875</v>
      </c>
      <c r="K33" s="74"/>
    </row>
    <row r="34" spans="1:14" x14ac:dyDescent="0.2">
      <c r="A34" s="20">
        <v>2</v>
      </c>
      <c r="B34" s="10">
        <v>9</v>
      </c>
      <c r="C34" s="11" t="s">
        <v>34</v>
      </c>
      <c r="D34" s="11" t="s">
        <v>20</v>
      </c>
      <c r="E34" s="31" t="s">
        <v>47</v>
      </c>
      <c r="F34" s="23">
        <v>17</v>
      </c>
      <c r="G34" s="23">
        <v>17</v>
      </c>
      <c r="H34" s="23">
        <v>0</v>
      </c>
      <c r="I34" s="23">
        <v>13</v>
      </c>
      <c r="J34" s="32">
        <f t="shared" si="1"/>
        <v>0.76470588235294112</v>
      </c>
      <c r="K34" s="74">
        <v>76</v>
      </c>
    </row>
    <row r="35" spans="1:14" x14ac:dyDescent="0.2">
      <c r="A35" s="20">
        <v>2</v>
      </c>
      <c r="B35" s="10">
        <v>9</v>
      </c>
      <c r="C35" s="11" t="s">
        <v>34</v>
      </c>
      <c r="D35" s="11" t="s">
        <v>21</v>
      </c>
      <c r="E35" s="31" t="s">
        <v>47</v>
      </c>
      <c r="F35" s="23">
        <v>18</v>
      </c>
      <c r="G35" s="23">
        <v>17</v>
      </c>
      <c r="H35" s="23">
        <v>1</v>
      </c>
      <c r="I35" s="23">
        <v>14</v>
      </c>
      <c r="J35" s="32">
        <f t="shared" si="1"/>
        <v>0.76470588235294112</v>
      </c>
      <c r="K35" s="74"/>
    </row>
    <row r="36" spans="1:14" s="13" customFormat="1" x14ac:dyDescent="0.2">
      <c r="A36" s="21">
        <v>3</v>
      </c>
      <c r="B36" s="10">
        <v>27</v>
      </c>
      <c r="C36" s="11" t="s">
        <v>17</v>
      </c>
      <c r="D36" s="11" t="s">
        <v>20</v>
      </c>
      <c r="E36" s="12" t="s">
        <v>56</v>
      </c>
      <c r="F36" s="23">
        <v>14</v>
      </c>
      <c r="G36" s="23">
        <v>10</v>
      </c>
      <c r="H36" s="23">
        <v>0</v>
      </c>
      <c r="I36" s="23">
        <v>8</v>
      </c>
      <c r="J36" s="32">
        <f t="shared" si="1"/>
        <v>0.8</v>
      </c>
      <c r="K36" s="75">
        <v>80</v>
      </c>
      <c r="L36"/>
      <c r="M36"/>
      <c r="N36"/>
    </row>
    <row r="37" spans="1:14" s="13" customFormat="1" x14ac:dyDescent="0.2">
      <c r="A37" s="21">
        <v>3</v>
      </c>
      <c r="B37" s="10">
        <v>27</v>
      </c>
      <c r="C37" s="11" t="s">
        <v>17</v>
      </c>
      <c r="D37" s="11" t="s">
        <v>21</v>
      </c>
      <c r="E37" s="12" t="s">
        <v>56</v>
      </c>
      <c r="F37" s="23">
        <v>14</v>
      </c>
      <c r="G37" s="23">
        <v>10</v>
      </c>
      <c r="H37" s="23">
        <v>0</v>
      </c>
      <c r="I37" s="23">
        <v>8</v>
      </c>
      <c r="J37" s="32">
        <f t="shared" si="1"/>
        <v>0.8</v>
      </c>
      <c r="K37" s="77"/>
      <c r="L37"/>
      <c r="M37"/>
      <c r="N37"/>
    </row>
    <row r="38" spans="1:14" s="13" customFormat="1" x14ac:dyDescent="0.2">
      <c r="A38" s="21">
        <v>3</v>
      </c>
      <c r="B38" s="10">
        <v>5</v>
      </c>
      <c r="C38" s="11" t="s">
        <v>42</v>
      </c>
      <c r="D38" s="11" t="s">
        <v>31</v>
      </c>
      <c r="E38" s="12" t="s">
        <v>48</v>
      </c>
      <c r="F38" s="23">
        <v>9</v>
      </c>
      <c r="G38" s="23">
        <v>7</v>
      </c>
      <c r="H38" s="23">
        <v>0</v>
      </c>
      <c r="I38" s="23">
        <v>7</v>
      </c>
      <c r="J38" s="32">
        <f t="shared" si="1"/>
        <v>1</v>
      </c>
      <c r="K38" s="23">
        <v>100</v>
      </c>
      <c r="L38"/>
      <c r="M38"/>
      <c r="N38"/>
    </row>
    <row r="39" spans="1:14" s="13" customFormat="1" x14ac:dyDescent="0.2">
      <c r="A39" s="21">
        <v>3</v>
      </c>
      <c r="B39" s="10">
        <v>5</v>
      </c>
      <c r="C39" s="11" t="s">
        <v>45</v>
      </c>
      <c r="D39" s="11" t="s">
        <v>19</v>
      </c>
      <c r="E39" s="12" t="s">
        <v>55</v>
      </c>
      <c r="F39" s="23">
        <v>11</v>
      </c>
      <c r="G39" s="23">
        <v>5</v>
      </c>
      <c r="H39" s="23">
        <v>0</v>
      </c>
      <c r="I39" s="23">
        <v>5</v>
      </c>
      <c r="J39" s="32">
        <f t="shared" si="1"/>
        <v>1</v>
      </c>
      <c r="K39" s="75">
        <v>86</v>
      </c>
      <c r="L39"/>
      <c r="M39"/>
      <c r="N39"/>
    </row>
    <row r="40" spans="1:14" s="13" customFormat="1" x14ac:dyDescent="0.2">
      <c r="A40" s="21">
        <v>3</v>
      </c>
      <c r="B40" s="10">
        <v>20</v>
      </c>
      <c r="C40" s="11" t="s">
        <v>45</v>
      </c>
      <c r="D40" s="11" t="s">
        <v>19</v>
      </c>
      <c r="E40" s="12" t="s">
        <v>56</v>
      </c>
      <c r="F40" s="23">
        <v>14</v>
      </c>
      <c r="G40" s="23">
        <v>13</v>
      </c>
      <c r="H40" s="23">
        <v>0</v>
      </c>
      <c r="I40" s="23">
        <v>10</v>
      </c>
      <c r="J40" s="32">
        <f t="shared" si="1"/>
        <v>0.76923076923076927</v>
      </c>
      <c r="K40" s="76"/>
      <c r="L40"/>
      <c r="M40"/>
      <c r="N40"/>
    </row>
    <row r="41" spans="1:14" s="13" customFormat="1" x14ac:dyDescent="0.2">
      <c r="A41" s="21">
        <v>3</v>
      </c>
      <c r="B41" s="10">
        <v>13</v>
      </c>
      <c r="C41" s="11" t="s">
        <v>45</v>
      </c>
      <c r="D41" s="11" t="s">
        <v>16</v>
      </c>
      <c r="E41" s="12" t="s">
        <v>56</v>
      </c>
      <c r="F41" s="23">
        <v>14</v>
      </c>
      <c r="G41" s="23">
        <v>14</v>
      </c>
      <c r="H41" s="23">
        <v>0</v>
      </c>
      <c r="I41" s="23">
        <v>11</v>
      </c>
      <c r="J41" s="32">
        <f t="shared" si="1"/>
        <v>0.7857142857142857</v>
      </c>
      <c r="K41" s="76"/>
      <c r="L41"/>
      <c r="M41"/>
      <c r="N41"/>
    </row>
    <row r="42" spans="1:14" s="13" customFormat="1" x14ac:dyDescent="0.2">
      <c r="A42" s="21">
        <v>3</v>
      </c>
      <c r="B42" s="10">
        <v>5</v>
      </c>
      <c r="C42" s="11" t="s">
        <v>45</v>
      </c>
      <c r="D42" s="11" t="s">
        <v>18</v>
      </c>
      <c r="E42" s="12" t="s">
        <v>55</v>
      </c>
      <c r="F42" s="23">
        <v>13</v>
      </c>
      <c r="G42" s="23">
        <v>4</v>
      </c>
      <c r="H42" s="23">
        <v>0</v>
      </c>
      <c r="I42" s="23">
        <v>4</v>
      </c>
      <c r="J42" s="32">
        <f t="shared" si="1"/>
        <v>1</v>
      </c>
      <c r="K42" s="76"/>
      <c r="L42"/>
      <c r="M42"/>
      <c r="N42"/>
    </row>
    <row r="43" spans="1:14" s="13" customFormat="1" x14ac:dyDescent="0.2">
      <c r="A43" s="21">
        <v>3</v>
      </c>
      <c r="B43" s="10">
        <v>20</v>
      </c>
      <c r="C43" s="11" t="s">
        <v>45</v>
      </c>
      <c r="D43" s="11" t="s">
        <v>18</v>
      </c>
      <c r="E43" s="12" t="s">
        <v>56</v>
      </c>
      <c r="F43" s="23">
        <v>14</v>
      </c>
      <c r="G43" s="23">
        <v>10</v>
      </c>
      <c r="H43" s="23">
        <v>0</v>
      </c>
      <c r="I43" s="23">
        <v>7</v>
      </c>
      <c r="J43" s="32">
        <f t="shared" ref="J43:J59" si="2">IFERROR(I43/G43-H43/G43,"")</f>
        <v>0.7</v>
      </c>
      <c r="K43" s="76"/>
      <c r="L43"/>
      <c r="M43"/>
      <c r="N43"/>
    </row>
    <row r="44" spans="1:14" s="13" customFormat="1" x14ac:dyDescent="0.2">
      <c r="A44" s="21">
        <v>3</v>
      </c>
      <c r="B44" s="10">
        <v>26</v>
      </c>
      <c r="C44" s="11" t="s">
        <v>45</v>
      </c>
      <c r="D44" s="11" t="s">
        <v>23</v>
      </c>
      <c r="E44" s="12" t="s">
        <v>49</v>
      </c>
      <c r="F44" s="23">
        <v>9</v>
      </c>
      <c r="G44" s="23">
        <v>9</v>
      </c>
      <c r="H44" s="23">
        <v>0</v>
      </c>
      <c r="I44" s="23">
        <v>8</v>
      </c>
      <c r="J44" s="32">
        <f t="shared" si="2"/>
        <v>0.88888888888888884</v>
      </c>
      <c r="K44" s="77"/>
      <c r="L44"/>
      <c r="M44"/>
      <c r="N44"/>
    </row>
    <row r="45" spans="1:14" s="13" customFormat="1" x14ac:dyDescent="0.2">
      <c r="A45" s="21">
        <v>3</v>
      </c>
      <c r="B45" s="10">
        <v>3</v>
      </c>
      <c r="C45" s="11" t="s">
        <v>15</v>
      </c>
      <c r="D45" s="11" t="s">
        <v>16</v>
      </c>
      <c r="E45" s="31" t="s">
        <v>55</v>
      </c>
      <c r="F45" s="23">
        <v>11</v>
      </c>
      <c r="G45" s="23">
        <v>10</v>
      </c>
      <c r="H45" s="23">
        <v>0</v>
      </c>
      <c r="I45" s="23">
        <v>9</v>
      </c>
      <c r="J45" s="32">
        <f t="shared" si="2"/>
        <v>0.9</v>
      </c>
      <c r="K45" s="23">
        <v>90</v>
      </c>
      <c r="L45"/>
      <c r="M45"/>
      <c r="N45"/>
    </row>
    <row r="46" spans="1:14" s="13" customFormat="1" x14ac:dyDescent="0.2">
      <c r="A46" s="21">
        <v>3</v>
      </c>
      <c r="B46" s="10">
        <v>12</v>
      </c>
      <c r="C46" s="11" t="s">
        <v>22</v>
      </c>
      <c r="D46" s="11" t="s">
        <v>19</v>
      </c>
      <c r="E46" s="12" t="s">
        <v>54</v>
      </c>
      <c r="F46" s="23">
        <v>14</v>
      </c>
      <c r="G46" s="23">
        <v>10</v>
      </c>
      <c r="H46" s="23">
        <v>0</v>
      </c>
      <c r="I46" s="23">
        <v>8</v>
      </c>
      <c r="J46" s="32">
        <f t="shared" si="2"/>
        <v>0.8</v>
      </c>
      <c r="K46" s="75">
        <v>85</v>
      </c>
      <c r="L46"/>
      <c r="M46"/>
      <c r="N46"/>
    </row>
    <row r="47" spans="1:14" s="13" customFormat="1" x14ac:dyDescent="0.2">
      <c r="A47" s="21">
        <v>3</v>
      </c>
      <c r="B47" s="10">
        <v>12</v>
      </c>
      <c r="C47" s="11" t="s">
        <v>22</v>
      </c>
      <c r="D47" s="11" t="s">
        <v>20</v>
      </c>
      <c r="E47" s="12" t="s">
        <v>54</v>
      </c>
      <c r="F47" s="23">
        <v>14</v>
      </c>
      <c r="G47" s="23">
        <v>10</v>
      </c>
      <c r="H47" s="23">
        <v>0</v>
      </c>
      <c r="I47" s="23">
        <v>8</v>
      </c>
      <c r="J47" s="32">
        <f t="shared" si="2"/>
        <v>0.8</v>
      </c>
      <c r="K47" s="76"/>
      <c r="L47"/>
      <c r="M47"/>
      <c r="N47"/>
    </row>
    <row r="48" spans="1:14" s="13" customFormat="1" x14ac:dyDescent="0.2">
      <c r="A48" s="21">
        <v>3</v>
      </c>
      <c r="B48" s="10">
        <v>11</v>
      </c>
      <c r="C48" s="11" t="s">
        <v>22</v>
      </c>
      <c r="D48" s="11" t="s">
        <v>20</v>
      </c>
      <c r="E48" s="12" t="s">
        <v>55</v>
      </c>
      <c r="F48" s="23">
        <v>11</v>
      </c>
      <c r="G48" s="23">
        <v>8</v>
      </c>
      <c r="H48" s="23">
        <v>0</v>
      </c>
      <c r="I48" s="23">
        <v>7</v>
      </c>
      <c r="J48" s="32">
        <f t="shared" si="2"/>
        <v>0.875</v>
      </c>
      <c r="K48" s="76"/>
      <c r="L48"/>
      <c r="M48"/>
      <c r="N48"/>
    </row>
    <row r="49" spans="1:14" s="13" customFormat="1" x14ac:dyDescent="0.2">
      <c r="A49" s="21">
        <v>3</v>
      </c>
      <c r="B49" s="10">
        <v>5</v>
      </c>
      <c r="C49" s="11" t="s">
        <v>22</v>
      </c>
      <c r="D49" s="11" t="s">
        <v>21</v>
      </c>
      <c r="E49" s="12" t="s">
        <v>54</v>
      </c>
      <c r="F49" s="23">
        <v>17</v>
      </c>
      <c r="G49" s="23">
        <v>10</v>
      </c>
      <c r="H49" s="23">
        <v>1</v>
      </c>
      <c r="I49" s="23">
        <v>9</v>
      </c>
      <c r="J49" s="32">
        <f t="shared" si="2"/>
        <v>0.8</v>
      </c>
      <c r="K49" s="76"/>
      <c r="L49"/>
      <c r="M49"/>
      <c r="N49"/>
    </row>
    <row r="50" spans="1:14" s="13" customFormat="1" x14ac:dyDescent="0.2">
      <c r="A50" s="21">
        <v>3</v>
      </c>
      <c r="B50" s="10">
        <v>11</v>
      </c>
      <c r="C50" s="11" t="s">
        <v>22</v>
      </c>
      <c r="D50" s="11" t="s">
        <v>21</v>
      </c>
      <c r="E50" s="12" t="s">
        <v>55</v>
      </c>
      <c r="F50" s="23">
        <v>11</v>
      </c>
      <c r="G50" s="23">
        <v>8</v>
      </c>
      <c r="H50" s="23">
        <v>0</v>
      </c>
      <c r="I50" s="23">
        <v>8</v>
      </c>
      <c r="J50" s="32">
        <f t="shared" si="2"/>
        <v>1</v>
      </c>
      <c r="K50" s="76"/>
      <c r="L50"/>
      <c r="M50"/>
      <c r="N50"/>
    </row>
    <row r="51" spans="1:14" s="13" customFormat="1" x14ac:dyDescent="0.2">
      <c r="A51" s="21">
        <v>3</v>
      </c>
      <c r="B51" s="10">
        <v>5</v>
      </c>
      <c r="C51" s="11" t="s">
        <v>22</v>
      </c>
      <c r="D51" s="11" t="s">
        <v>18</v>
      </c>
      <c r="E51" s="12" t="s">
        <v>54</v>
      </c>
      <c r="F51" s="23">
        <v>17</v>
      </c>
      <c r="G51" s="23">
        <v>10</v>
      </c>
      <c r="H51" s="23">
        <v>0</v>
      </c>
      <c r="I51" s="23">
        <v>8</v>
      </c>
      <c r="J51" s="32">
        <f t="shared" si="2"/>
        <v>0.8</v>
      </c>
      <c r="K51" s="77"/>
      <c r="L51"/>
      <c r="M51"/>
      <c r="N51"/>
    </row>
    <row r="52" spans="1:14" s="13" customFormat="1" x14ac:dyDescent="0.2">
      <c r="A52" s="21">
        <v>3</v>
      </c>
      <c r="B52" s="10">
        <v>26</v>
      </c>
      <c r="C52" s="11" t="s">
        <v>34</v>
      </c>
      <c r="D52" s="11" t="s">
        <v>23</v>
      </c>
      <c r="E52" s="12" t="s">
        <v>54</v>
      </c>
      <c r="F52" s="23">
        <v>12</v>
      </c>
      <c r="G52" s="23">
        <v>12</v>
      </c>
      <c r="H52" s="23">
        <v>1</v>
      </c>
      <c r="I52" s="23">
        <v>11</v>
      </c>
      <c r="J52" s="32">
        <f t="shared" si="2"/>
        <v>0.83333333333333326</v>
      </c>
      <c r="K52" s="75">
        <v>94</v>
      </c>
      <c r="L52"/>
      <c r="M52"/>
      <c r="N52"/>
    </row>
    <row r="53" spans="1:14" s="13" customFormat="1" x14ac:dyDescent="0.2">
      <c r="A53" s="21">
        <v>3</v>
      </c>
      <c r="B53" s="10">
        <v>6</v>
      </c>
      <c r="C53" s="11" t="s">
        <v>34</v>
      </c>
      <c r="D53" s="11" t="s">
        <v>20</v>
      </c>
      <c r="E53" s="31" t="s">
        <v>53</v>
      </c>
      <c r="F53" s="23">
        <v>6</v>
      </c>
      <c r="G53" s="23">
        <v>6</v>
      </c>
      <c r="H53" s="23">
        <v>0</v>
      </c>
      <c r="I53" s="23">
        <v>6</v>
      </c>
      <c r="J53" s="32">
        <f t="shared" si="2"/>
        <v>1</v>
      </c>
      <c r="K53" s="76"/>
      <c r="L53"/>
      <c r="M53"/>
      <c r="N53"/>
    </row>
    <row r="54" spans="1:14" s="13" customFormat="1" x14ac:dyDescent="0.2">
      <c r="A54" s="21">
        <v>3</v>
      </c>
      <c r="B54" s="10">
        <v>6</v>
      </c>
      <c r="C54" s="11" t="s">
        <v>34</v>
      </c>
      <c r="D54" s="11" t="s">
        <v>21</v>
      </c>
      <c r="E54" s="31" t="s">
        <v>53</v>
      </c>
      <c r="F54" s="23">
        <v>5</v>
      </c>
      <c r="G54" s="23">
        <v>5</v>
      </c>
      <c r="H54" s="23">
        <v>0</v>
      </c>
      <c r="I54" s="23">
        <v>5</v>
      </c>
      <c r="J54" s="32">
        <f t="shared" si="2"/>
        <v>1</v>
      </c>
      <c r="K54" s="77"/>
      <c r="L54"/>
      <c r="M54"/>
      <c r="N54"/>
    </row>
    <row r="55" spans="1:14" s="13" customFormat="1" x14ac:dyDescent="0.2">
      <c r="A55" s="21">
        <v>3</v>
      </c>
      <c r="B55" s="10">
        <v>19</v>
      </c>
      <c r="C55" s="11" t="s">
        <v>43</v>
      </c>
      <c r="D55" s="11" t="s">
        <v>19</v>
      </c>
      <c r="E55" s="12" t="s">
        <v>57</v>
      </c>
      <c r="F55" s="23">
        <v>15</v>
      </c>
      <c r="G55" s="23">
        <v>10</v>
      </c>
      <c r="H55" s="23">
        <v>0</v>
      </c>
      <c r="I55" s="23">
        <v>10</v>
      </c>
      <c r="J55" s="32">
        <f t="shared" si="2"/>
        <v>1</v>
      </c>
      <c r="K55" s="75">
        <v>100</v>
      </c>
      <c r="L55"/>
      <c r="M55"/>
      <c r="N55"/>
    </row>
    <row r="56" spans="1:14" s="13" customFormat="1" x14ac:dyDescent="0.2">
      <c r="A56" s="21">
        <v>3</v>
      </c>
      <c r="B56" s="10">
        <v>24</v>
      </c>
      <c r="C56" s="11" t="s">
        <v>43</v>
      </c>
      <c r="D56" s="11" t="s">
        <v>20</v>
      </c>
      <c r="E56" s="12" t="s">
        <v>57</v>
      </c>
      <c r="F56" s="23">
        <v>14</v>
      </c>
      <c r="G56" s="23">
        <v>10</v>
      </c>
      <c r="H56" s="23">
        <v>0</v>
      </c>
      <c r="I56" s="23">
        <v>10</v>
      </c>
      <c r="J56" s="32">
        <f t="shared" si="2"/>
        <v>1</v>
      </c>
      <c r="K56" s="76"/>
      <c r="L56"/>
      <c r="M56"/>
      <c r="N56"/>
    </row>
    <row r="57" spans="1:14" s="13" customFormat="1" x14ac:dyDescent="0.2">
      <c r="A57" s="21">
        <v>3</v>
      </c>
      <c r="B57" s="10">
        <v>17</v>
      </c>
      <c r="C57" s="11" t="s">
        <v>43</v>
      </c>
      <c r="D57" s="11" t="s">
        <v>16</v>
      </c>
      <c r="E57" s="12" t="s">
        <v>57</v>
      </c>
      <c r="F57" s="23">
        <v>13</v>
      </c>
      <c r="G57" s="23">
        <v>10</v>
      </c>
      <c r="H57" s="23">
        <v>0</v>
      </c>
      <c r="I57" s="23">
        <v>10</v>
      </c>
      <c r="J57" s="32">
        <f t="shared" si="2"/>
        <v>1</v>
      </c>
      <c r="K57" s="76"/>
      <c r="L57"/>
      <c r="M57"/>
      <c r="N57"/>
    </row>
    <row r="58" spans="1:14" s="13" customFormat="1" x14ac:dyDescent="0.2">
      <c r="A58" s="21">
        <v>3</v>
      </c>
      <c r="B58" s="10">
        <v>24</v>
      </c>
      <c r="C58" s="11" t="s">
        <v>43</v>
      </c>
      <c r="D58" s="11" t="s">
        <v>21</v>
      </c>
      <c r="E58" s="31" t="s">
        <v>57</v>
      </c>
      <c r="F58" s="23">
        <v>14</v>
      </c>
      <c r="G58" s="23">
        <v>10</v>
      </c>
      <c r="H58" s="23">
        <v>0</v>
      </c>
      <c r="I58" s="23">
        <v>10</v>
      </c>
      <c r="J58" s="32">
        <f t="shared" si="2"/>
        <v>1</v>
      </c>
      <c r="K58" s="76"/>
      <c r="L58"/>
      <c r="M58"/>
      <c r="N58"/>
    </row>
    <row r="59" spans="1:14" s="13" customFormat="1" x14ac:dyDescent="0.2">
      <c r="A59" s="21">
        <v>3</v>
      </c>
      <c r="B59" s="10">
        <v>19</v>
      </c>
      <c r="C59" s="11" t="s">
        <v>43</v>
      </c>
      <c r="D59" s="11" t="s">
        <v>18</v>
      </c>
      <c r="E59" s="12" t="s">
        <v>57</v>
      </c>
      <c r="F59" s="23">
        <v>15</v>
      </c>
      <c r="G59" s="23">
        <v>10</v>
      </c>
      <c r="H59" s="23">
        <v>0</v>
      </c>
      <c r="I59" s="23">
        <v>10</v>
      </c>
      <c r="J59" s="32">
        <f t="shared" si="2"/>
        <v>1</v>
      </c>
      <c r="K59" s="77"/>
      <c r="L59"/>
      <c r="M59"/>
      <c r="N59"/>
    </row>
    <row r="60" spans="1:14" x14ac:dyDescent="0.2">
      <c r="A60" s="21">
        <v>4</v>
      </c>
      <c r="B60" s="10">
        <v>16</v>
      </c>
      <c r="C60" s="11" t="s">
        <v>17</v>
      </c>
      <c r="D60" s="11" t="s">
        <v>25</v>
      </c>
      <c r="E60" s="12" t="s">
        <v>50</v>
      </c>
      <c r="F60" s="23">
        <v>9</v>
      </c>
      <c r="G60" s="23">
        <v>8</v>
      </c>
      <c r="H60" s="23">
        <v>0</v>
      </c>
      <c r="I60" s="23">
        <v>7</v>
      </c>
      <c r="J60" s="32">
        <f t="shared" ref="J60:J91" si="3">IFERROR(I60/G60-H60/G60,"")</f>
        <v>0.875</v>
      </c>
      <c r="K60" s="73">
        <v>88</v>
      </c>
    </row>
    <row r="61" spans="1:14" x14ac:dyDescent="0.2">
      <c r="A61" s="21">
        <v>4</v>
      </c>
      <c r="B61" s="10">
        <v>16</v>
      </c>
      <c r="C61" s="11" t="s">
        <v>17</v>
      </c>
      <c r="D61" s="11" t="s">
        <v>30</v>
      </c>
      <c r="E61" s="12" t="s">
        <v>50</v>
      </c>
      <c r="F61" s="23">
        <v>9</v>
      </c>
      <c r="G61" s="23">
        <v>6</v>
      </c>
      <c r="H61" s="23">
        <v>0</v>
      </c>
      <c r="I61" s="23">
        <v>5</v>
      </c>
      <c r="J61" s="32">
        <f t="shared" si="3"/>
        <v>0.83333333333333337</v>
      </c>
      <c r="K61" s="73"/>
    </row>
    <row r="62" spans="1:14" x14ac:dyDescent="0.2">
      <c r="A62" s="21">
        <v>4</v>
      </c>
      <c r="B62" s="10">
        <v>17</v>
      </c>
      <c r="C62" s="11" t="s">
        <v>17</v>
      </c>
      <c r="D62" s="11" t="s">
        <v>23</v>
      </c>
      <c r="E62" s="31" t="s">
        <v>56</v>
      </c>
      <c r="F62" s="23">
        <v>10</v>
      </c>
      <c r="G62" s="23">
        <v>10</v>
      </c>
      <c r="H62" s="23">
        <v>1</v>
      </c>
      <c r="I62" s="23">
        <v>9</v>
      </c>
      <c r="J62" s="32">
        <f t="shared" si="3"/>
        <v>0.8</v>
      </c>
      <c r="K62" s="73"/>
    </row>
    <row r="63" spans="1:14" x14ac:dyDescent="0.2">
      <c r="A63" s="21">
        <v>4</v>
      </c>
      <c r="B63" s="10">
        <v>24</v>
      </c>
      <c r="C63" s="11" t="s">
        <v>17</v>
      </c>
      <c r="D63" s="11" t="s">
        <v>25</v>
      </c>
      <c r="E63" s="31" t="s">
        <v>56</v>
      </c>
      <c r="F63" s="23">
        <v>8</v>
      </c>
      <c r="G63" s="23">
        <v>6</v>
      </c>
      <c r="H63" s="23">
        <v>0</v>
      </c>
      <c r="I63" s="23">
        <v>5</v>
      </c>
      <c r="J63" s="32">
        <f t="shared" si="3"/>
        <v>0.83333333333333337</v>
      </c>
      <c r="K63" s="73"/>
    </row>
    <row r="64" spans="1:14" x14ac:dyDescent="0.2">
      <c r="A64" s="21">
        <v>4</v>
      </c>
      <c r="B64" s="10">
        <v>24</v>
      </c>
      <c r="C64" s="11" t="s">
        <v>17</v>
      </c>
      <c r="D64" s="11" t="s">
        <v>30</v>
      </c>
      <c r="E64" s="31" t="s">
        <v>56</v>
      </c>
      <c r="F64" s="23">
        <v>2</v>
      </c>
      <c r="G64" s="23">
        <v>2</v>
      </c>
      <c r="H64" s="23">
        <v>0</v>
      </c>
      <c r="I64" s="23">
        <v>2</v>
      </c>
      <c r="J64" s="32">
        <f t="shared" si="3"/>
        <v>1</v>
      </c>
      <c r="K64" s="73"/>
    </row>
    <row r="65" spans="1:11" x14ac:dyDescent="0.2">
      <c r="A65" s="21">
        <v>4</v>
      </c>
      <c r="B65" s="10">
        <v>29</v>
      </c>
      <c r="C65" s="28" t="s">
        <v>17</v>
      </c>
      <c r="D65" s="28" t="s">
        <v>20</v>
      </c>
      <c r="E65" s="31" t="s">
        <v>58</v>
      </c>
      <c r="F65" s="23">
        <v>7</v>
      </c>
      <c r="G65" s="23">
        <v>6</v>
      </c>
      <c r="H65" s="23">
        <v>0</v>
      </c>
      <c r="I65" s="23">
        <v>5</v>
      </c>
      <c r="J65" s="32">
        <f t="shared" si="3"/>
        <v>0.83333333333333337</v>
      </c>
      <c r="K65" s="73"/>
    </row>
    <row r="66" spans="1:11" x14ac:dyDescent="0.2">
      <c r="A66" s="21">
        <v>4</v>
      </c>
      <c r="B66" s="10">
        <v>29</v>
      </c>
      <c r="C66" s="11" t="s">
        <v>17</v>
      </c>
      <c r="D66" s="11" t="s">
        <v>21</v>
      </c>
      <c r="E66" s="12" t="s">
        <v>58</v>
      </c>
      <c r="F66" s="23">
        <v>7</v>
      </c>
      <c r="G66" s="23">
        <v>6</v>
      </c>
      <c r="H66" s="23">
        <v>0</v>
      </c>
      <c r="I66" s="23">
        <v>6</v>
      </c>
      <c r="J66" s="32">
        <f t="shared" si="3"/>
        <v>1</v>
      </c>
      <c r="K66" s="73"/>
    </row>
    <row r="67" spans="1:11" x14ac:dyDescent="0.2">
      <c r="A67" s="21">
        <v>4</v>
      </c>
      <c r="B67" s="10">
        <v>1</v>
      </c>
      <c r="C67" s="11" t="s">
        <v>45</v>
      </c>
      <c r="D67" s="11" t="s">
        <v>23</v>
      </c>
      <c r="E67" s="12" t="s">
        <v>55</v>
      </c>
      <c r="F67" s="23">
        <v>10</v>
      </c>
      <c r="G67" s="23">
        <v>3</v>
      </c>
      <c r="H67" s="23">
        <v>0</v>
      </c>
      <c r="I67" s="23">
        <v>3</v>
      </c>
      <c r="J67" s="32">
        <f t="shared" si="3"/>
        <v>1</v>
      </c>
      <c r="K67" s="73">
        <v>98</v>
      </c>
    </row>
    <row r="68" spans="1:11" x14ac:dyDescent="0.2">
      <c r="A68" s="21">
        <v>4</v>
      </c>
      <c r="B68" s="10">
        <v>1</v>
      </c>
      <c r="C68" s="11" t="s">
        <v>45</v>
      </c>
      <c r="D68" s="11" t="s">
        <v>30</v>
      </c>
      <c r="E68" s="12" t="s">
        <v>55</v>
      </c>
      <c r="F68" s="23">
        <v>10</v>
      </c>
      <c r="G68" s="23">
        <v>5</v>
      </c>
      <c r="H68" s="23">
        <v>0</v>
      </c>
      <c r="I68" s="23">
        <v>5</v>
      </c>
      <c r="J68" s="32">
        <f t="shared" si="3"/>
        <v>1</v>
      </c>
      <c r="K68" s="73"/>
    </row>
    <row r="69" spans="1:11" x14ac:dyDescent="0.2">
      <c r="A69" s="21">
        <v>4</v>
      </c>
      <c r="B69" s="10">
        <v>21</v>
      </c>
      <c r="C69" s="11" t="s">
        <v>45</v>
      </c>
      <c r="D69" s="11" t="s">
        <v>23</v>
      </c>
      <c r="E69" s="12" t="s">
        <v>53</v>
      </c>
      <c r="F69" s="23">
        <v>4</v>
      </c>
      <c r="G69" s="23">
        <v>4</v>
      </c>
      <c r="H69" s="23">
        <v>0</v>
      </c>
      <c r="I69" s="23">
        <v>4</v>
      </c>
      <c r="J69" s="32">
        <f t="shared" si="3"/>
        <v>1</v>
      </c>
      <c r="K69" s="73"/>
    </row>
    <row r="70" spans="1:11" x14ac:dyDescent="0.2">
      <c r="A70" s="21">
        <v>4</v>
      </c>
      <c r="B70" s="10">
        <v>22</v>
      </c>
      <c r="C70" s="11" t="s">
        <v>45</v>
      </c>
      <c r="D70" s="11" t="s">
        <v>24</v>
      </c>
      <c r="E70" s="12" t="s">
        <v>46</v>
      </c>
      <c r="F70" s="23">
        <v>8</v>
      </c>
      <c r="G70" s="23">
        <v>8</v>
      </c>
      <c r="H70" s="23">
        <v>0</v>
      </c>
      <c r="I70" s="23">
        <v>7</v>
      </c>
      <c r="J70" s="32">
        <f t="shared" si="3"/>
        <v>0.875</v>
      </c>
      <c r="K70" s="73"/>
    </row>
    <row r="71" spans="1:11" x14ac:dyDescent="0.2">
      <c r="A71" s="21">
        <v>4</v>
      </c>
      <c r="B71" s="10">
        <v>22</v>
      </c>
      <c r="C71" s="11" t="s">
        <v>45</v>
      </c>
      <c r="D71" s="11" t="s">
        <v>30</v>
      </c>
      <c r="E71" s="12" t="s">
        <v>46</v>
      </c>
      <c r="F71" s="23">
        <v>8</v>
      </c>
      <c r="G71" s="23">
        <v>8</v>
      </c>
      <c r="H71" s="23">
        <v>0</v>
      </c>
      <c r="I71" s="23">
        <v>8</v>
      </c>
      <c r="J71" s="32">
        <f t="shared" si="3"/>
        <v>1</v>
      </c>
      <c r="K71" s="73"/>
    </row>
    <row r="72" spans="1:11" x14ac:dyDescent="0.2">
      <c r="A72" s="21">
        <v>4</v>
      </c>
      <c r="B72" s="10">
        <v>24</v>
      </c>
      <c r="C72" s="11" t="s">
        <v>45</v>
      </c>
      <c r="D72" s="11" t="s">
        <v>25</v>
      </c>
      <c r="E72" s="12" t="s">
        <v>53</v>
      </c>
      <c r="F72" s="23">
        <v>4</v>
      </c>
      <c r="G72" s="23">
        <v>4</v>
      </c>
      <c r="H72" s="23">
        <v>0</v>
      </c>
      <c r="I72" s="23">
        <v>4</v>
      </c>
      <c r="J72" s="32">
        <f t="shared" si="3"/>
        <v>1</v>
      </c>
      <c r="K72" s="73"/>
    </row>
    <row r="73" spans="1:11" x14ac:dyDescent="0.2">
      <c r="A73" s="21">
        <v>4</v>
      </c>
      <c r="B73" s="10">
        <v>24</v>
      </c>
      <c r="C73" s="11" t="s">
        <v>45</v>
      </c>
      <c r="D73" s="11" t="s">
        <v>24</v>
      </c>
      <c r="E73" s="31" t="s">
        <v>53</v>
      </c>
      <c r="F73" s="23">
        <v>4</v>
      </c>
      <c r="G73" s="23">
        <v>3</v>
      </c>
      <c r="H73" s="23">
        <v>0</v>
      </c>
      <c r="I73" s="23">
        <v>3</v>
      </c>
      <c r="J73" s="32">
        <f t="shared" si="3"/>
        <v>1</v>
      </c>
      <c r="K73" s="73"/>
    </row>
    <row r="74" spans="1:11" x14ac:dyDescent="0.2">
      <c r="A74" s="21">
        <v>4</v>
      </c>
      <c r="B74" s="10">
        <v>2</v>
      </c>
      <c r="C74" s="11" t="s">
        <v>15</v>
      </c>
      <c r="D74" s="11" t="s">
        <v>30</v>
      </c>
      <c r="E74" s="31" t="s">
        <v>52</v>
      </c>
      <c r="F74" s="23">
        <v>12</v>
      </c>
      <c r="G74" s="23">
        <v>12</v>
      </c>
      <c r="H74" s="23">
        <v>0</v>
      </c>
      <c r="I74" s="23">
        <v>10</v>
      </c>
      <c r="J74" s="32">
        <f t="shared" si="3"/>
        <v>0.83333333333333337</v>
      </c>
      <c r="K74" s="73">
        <v>84</v>
      </c>
    </row>
    <row r="75" spans="1:11" x14ac:dyDescent="0.2">
      <c r="A75" s="21">
        <v>4</v>
      </c>
      <c r="B75" s="10">
        <v>6</v>
      </c>
      <c r="C75" s="11" t="s">
        <v>15</v>
      </c>
      <c r="D75" s="11" t="s">
        <v>23</v>
      </c>
      <c r="E75" s="31" t="s">
        <v>52</v>
      </c>
      <c r="F75" s="23">
        <v>9</v>
      </c>
      <c r="G75" s="23">
        <v>9</v>
      </c>
      <c r="H75" s="23">
        <v>0</v>
      </c>
      <c r="I75" s="23">
        <v>7</v>
      </c>
      <c r="J75" s="32">
        <f t="shared" si="3"/>
        <v>0.77777777777777779</v>
      </c>
      <c r="K75" s="73"/>
    </row>
    <row r="76" spans="1:11" x14ac:dyDescent="0.2">
      <c r="A76" s="21">
        <v>4</v>
      </c>
      <c r="B76" s="10">
        <v>7</v>
      </c>
      <c r="C76" s="11" t="s">
        <v>15</v>
      </c>
      <c r="D76" s="11" t="s">
        <v>24</v>
      </c>
      <c r="E76" s="31" t="s">
        <v>52</v>
      </c>
      <c r="F76" s="23">
        <v>5</v>
      </c>
      <c r="G76" s="23">
        <v>5</v>
      </c>
      <c r="H76" s="23">
        <v>0</v>
      </c>
      <c r="I76" s="23">
        <v>4</v>
      </c>
      <c r="J76" s="32">
        <f t="shared" si="3"/>
        <v>0.8</v>
      </c>
      <c r="K76" s="73"/>
    </row>
    <row r="77" spans="1:11" x14ac:dyDescent="0.2">
      <c r="A77" s="21">
        <v>4</v>
      </c>
      <c r="B77" s="10">
        <v>8</v>
      </c>
      <c r="C77" s="11" t="s">
        <v>15</v>
      </c>
      <c r="D77" s="11" t="s">
        <v>25</v>
      </c>
      <c r="E77" s="31" t="s">
        <v>55</v>
      </c>
      <c r="F77" s="23">
        <v>5</v>
      </c>
      <c r="G77" s="23">
        <v>4</v>
      </c>
      <c r="H77" s="23">
        <v>0</v>
      </c>
      <c r="I77" s="23">
        <v>4</v>
      </c>
      <c r="J77" s="32">
        <f t="shared" si="3"/>
        <v>1</v>
      </c>
      <c r="K77" s="73"/>
    </row>
    <row r="78" spans="1:11" x14ac:dyDescent="0.2">
      <c r="A78" s="21">
        <v>4</v>
      </c>
      <c r="B78" s="10">
        <v>8</v>
      </c>
      <c r="C78" s="11" t="s">
        <v>15</v>
      </c>
      <c r="D78" s="11" t="s">
        <v>24</v>
      </c>
      <c r="E78" s="12" t="s">
        <v>55</v>
      </c>
      <c r="F78" s="23">
        <v>6</v>
      </c>
      <c r="G78" s="23">
        <v>5</v>
      </c>
      <c r="H78" s="23">
        <v>0</v>
      </c>
      <c r="I78" s="23">
        <v>4</v>
      </c>
      <c r="J78" s="32">
        <f t="shared" si="3"/>
        <v>0.8</v>
      </c>
      <c r="K78" s="73"/>
    </row>
    <row r="79" spans="1:11" x14ac:dyDescent="0.2">
      <c r="A79" s="21">
        <v>4</v>
      </c>
      <c r="B79" s="10">
        <v>23</v>
      </c>
      <c r="C79" s="11" t="s">
        <v>22</v>
      </c>
      <c r="D79" s="11" t="s">
        <v>16</v>
      </c>
      <c r="E79" s="12" t="s">
        <v>58</v>
      </c>
      <c r="F79" s="28">
        <v>9</v>
      </c>
      <c r="G79" s="28">
        <v>8</v>
      </c>
      <c r="H79" s="23">
        <v>0</v>
      </c>
      <c r="I79" s="28">
        <v>7</v>
      </c>
      <c r="J79" s="32">
        <f t="shared" si="3"/>
        <v>0.875</v>
      </c>
      <c r="K79" s="73">
        <v>87</v>
      </c>
    </row>
    <row r="80" spans="1:11" x14ac:dyDescent="0.2">
      <c r="A80" s="21">
        <v>4</v>
      </c>
      <c r="B80" s="10">
        <v>16</v>
      </c>
      <c r="C80" s="11" t="s">
        <v>22</v>
      </c>
      <c r="D80" s="11" t="s">
        <v>18</v>
      </c>
      <c r="E80" s="12" t="s">
        <v>51</v>
      </c>
      <c r="F80" s="23">
        <v>9</v>
      </c>
      <c r="G80" s="28">
        <v>5</v>
      </c>
      <c r="H80" s="23">
        <v>0</v>
      </c>
      <c r="I80" s="28">
        <v>5</v>
      </c>
      <c r="J80" s="32">
        <f t="shared" si="3"/>
        <v>1</v>
      </c>
      <c r="K80" s="73"/>
    </row>
    <row r="81" spans="1:11" x14ac:dyDescent="0.2">
      <c r="A81" s="21">
        <v>4</v>
      </c>
      <c r="B81" s="10">
        <v>16</v>
      </c>
      <c r="C81" s="11" t="s">
        <v>22</v>
      </c>
      <c r="D81" s="11" t="s">
        <v>19</v>
      </c>
      <c r="E81" s="12" t="s">
        <v>51</v>
      </c>
      <c r="F81" s="23">
        <v>8</v>
      </c>
      <c r="G81" s="23">
        <v>6</v>
      </c>
      <c r="H81" s="23">
        <v>0</v>
      </c>
      <c r="I81" s="23">
        <v>6</v>
      </c>
      <c r="J81" s="32">
        <f t="shared" si="3"/>
        <v>1</v>
      </c>
      <c r="K81" s="73"/>
    </row>
    <row r="82" spans="1:11" x14ac:dyDescent="0.2">
      <c r="A82" s="21">
        <v>4</v>
      </c>
      <c r="B82" s="10">
        <v>17</v>
      </c>
      <c r="C82" s="11" t="s">
        <v>22</v>
      </c>
      <c r="D82" s="11" t="s">
        <v>20</v>
      </c>
      <c r="E82" s="31" t="s">
        <v>51</v>
      </c>
      <c r="F82" s="23">
        <v>10</v>
      </c>
      <c r="G82" s="23">
        <v>6</v>
      </c>
      <c r="H82" s="23">
        <v>0</v>
      </c>
      <c r="I82" s="23">
        <v>3</v>
      </c>
      <c r="J82" s="33">
        <f t="shared" si="3"/>
        <v>0.5</v>
      </c>
      <c r="K82" s="73"/>
    </row>
    <row r="83" spans="1:11" x14ac:dyDescent="0.2">
      <c r="A83" s="21">
        <v>4</v>
      </c>
      <c r="B83" s="10">
        <v>17</v>
      </c>
      <c r="C83" s="11" t="s">
        <v>22</v>
      </c>
      <c r="D83" s="11" t="s">
        <v>21</v>
      </c>
      <c r="E83" s="31" t="s">
        <v>51</v>
      </c>
      <c r="F83" s="23">
        <v>8</v>
      </c>
      <c r="G83" s="23">
        <v>6</v>
      </c>
      <c r="H83" s="23">
        <v>0</v>
      </c>
      <c r="I83" s="23">
        <v>6</v>
      </c>
      <c r="J83" s="32">
        <f t="shared" si="3"/>
        <v>1</v>
      </c>
      <c r="K83" s="73"/>
    </row>
    <row r="84" spans="1:11" x14ac:dyDescent="0.2">
      <c r="A84" s="21">
        <v>4</v>
      </c>
      <c r="B84" s="10">
        <v>22</v>
      </c>
      <c r="C84" s="14" t="s">
        <v>22</v>
      </c>
      <c r="D84" s="11" t="s">
        <v>16</v>
      </c>
      <c r="E84" s="31" t="s">
        <v>59</v>
      </c>
      <c r="F84" s="23">
        <v>9</v>
      </c>
      <c r="G84" s="23">
        <v>10</v>
      </c>
      <c r="H84" s="23">
        <v>0</v>
      </c>
      <c r="I84" s="23">
        <v>9</v>
      </c>
      <c r="J84" s="32">
        <f t="shared" si="3"/>
        <v>0.9</v>
      </c>
      <c r="K84" s="73"/>
    </row>
    <row r="85" spans="1:11" x14ac:dyDescent="0.2">
      <c r="A85" s="21">
        <v>4</v>
      </c>
      <c r="B85" s="10">
        <v>28</v>
      </c>
      <c r="C85" s="14" t="s">
        <v>22</v>
      </c>
      <c r="D85" s="11" t="s">
        <v>18</v>
      </c>
      <c r="E85" s="31" t="s">
        <v>59</v>
      </c>
      <c r="F85" s="23">
        <v>7</v>
      </c>
      <c r="G85" s="23">
        <v>7</v>
      </c>
      <c r="H85" s="23">
        <v>0</v>
      </c>
      <c r="I85" s="23">
        <v>6</v>
      </c>
      <c r="J85" s="32">
        <f t="shared" si="3"/>
        <v>0.8571428571428571</v>
      </c>
      <c r="K85" s="73"/>
    </row>
    <row r="86" spans="1:11" x14ac:dyDescent="0.2">
      <c r="A86" s="21">
        <v>4</v>
      </c>
      <c r="B86" s="10">
        <v>28</v>
      </c>
      <c r="C86" s="11" t="s">
        <v>22</v>
      </c>
      <c r="D86" s="11" t="s">
        <v>21</v>
      </c>
      <c r="E86" s="12" t="s">
        <v>59</v>
      </c>
      <c r="F86" s="23">
        <v>7</v>
      </c>
      <c r="G86" s="23">
        <v>7</v>
      </c>
      <c r="H86" s="23">
        <v>0</v>
      </c>
      <c r="I86" s="23">
        <v>6</v>
      </c>
      <c r="J86" s="32">
        <f t="shared" si="3"/>
        <v>0.8571428571428571</v>
      </c>
      <c r="K86" s="73"/>
    </row>
    <row r="87" spans="1:11" x14ac:dyDescent="0.2">
      <c r="A87" s="21">
        <v>4</v>
      </c>
      <c r="B87" s="10">
        <v>3</v>
      </c>
      <c r="C87" s="11" t="s">
        <v>34</v>
      </c>
      <c r="D87" s="11" t="s">
        <v>23</v>
      </c>
      <c r="E87" s="12" t="s">
        <v>47</v>
      </c>
      <c r="F87" s="23">
        <v>12</v>
      </c>
      <c r="G87" s="23">
        <v>10</v>
      </c>
      <c r="H87" s="23">
        <v>2</v>
      </c>
      <c r="I87" s="23">
        <v>6</v>
      </c>
      <c r="J87" s="33">
        <f t="shared" si="3"/>
        <v>0.39999999999999997</v>
      </c>
      <c r="K87" s="73">
        <v>71</v>
      </c>
    </row>
    <row r="88" spans="1:11" x14ac:dyDescent="0.2">
      <c r="A88" s="21">
        <v>4</v>
      </c>
      <c r="B88" s="10">
        <v>14</v>
      </c>
      <c r="C88" s="11" t="s">
        <v>34</v>
      </c>
      <c r="D88" s="11" t="s">
        <v>23</v>
      </c>
      <c r="E88" s="12" t="s">
        <v>50</v>
      </c>
      <c r="F88" s="23">
        <v>8</v>
      </c>
      <c r="G88" s="23">
        <v>8</v>
      </c>
      <c r="H88" s="23">
        <v>0</v>
      </c>
      <c r="I88" s="23">
        <v>6</v>
      </c>
      <c r="J88" s="32">
        <f t="shared" si="3"/>
        <v>0.75</v>
      </c>
      <c r="K88" s="73"/>
    </row>
    <row r="89" spans="1:11" x14ac:dyDescent="0.2">
      <c r="A89" s="21">
        <v>4</v>
      </c>
      <c r="B89" s="10">
        <v>17</v>
      </c>
      <c r="C89" s="11" t="s">
        <v>34</v>
      </c>
      <c r="D89" s="11" t="s">
        <v>23</v>
      </c>
      <c r="E89" s="12" t="s">
        <v>46</v>
      </c>
      <c r="F89" s="23">
        <v>11</v>
      </c>
      <c r="G89" s="23">
        <v>11</v>
      </c>
      <c r="H89" s="23">
        <v>0</v>
      </c>
      <c r="I89" s="23">
        <v>11</v>
      </c>
      <c r="J89" s="32">
        <f t="shared" si="3"/>
        <v>1</v>
      </c>
      <c r="K89" s="73"/>
    </row>
    <row r="90" spans="1:11" x14ac:dyDescent="0.2">
      <c r="A90" s="21">
        <v>4</v>
      </c>
      <c r="B90" s="10">
        <v>23</v>
      </c>
      <c r="C90" s="11" t="s">
        <v>34</v>
      </c>
      <c r="D90" s="11" t="s">
        <v>24</v>
      </c>
      <c r="E90" s="12" t="s">
        <v>49</v>
      </c>
      <c r="F90" s="23">
        <v>9</v>
      </c>
      <c r="G90" s="23">
        <v>8</v>
      </c>
      <c r="H90" s="23">
        <v>0</v>
      </c>
      <c r="I90" s="23">
        <v>6</v>
      </c>
      <c r="J90" s="32">
        <f t="shared" si="3"/>
        <v>0.75</v>
      </c>
      <c r="K90" s="73"/>
    </row>
    <row r="91" spans="1:11" x14ac:dyDescent="0.2">
      <c r="A91" s="21">
        <v>4</v>
      </c>
      <c r="B91" s="10">
        <v>23</v>
      </c>
      <c r="C91" s="11" t="s">
        <v>34</v>
      </c>
      <c r="D91" s="11" t="s">
        <v>30</v>
      </c>
      <c r="E91" s="12" t="s">
        <v>60</v>
      </c>
      <c r="F91" s="23">
        <v>9</v>
      </c>
      <c r="G91" s="23">
        <v>8</v>
      </c>
      <c r="H91" s="23">
        <v>1</v>
      </c>
      <c r="I91" s="23">
        <v>6</v>
      </c>
      <c r="J91" s="32">
        <f t="shared" si="3"/>
        <v>0.625</v>
      </c>
      <c r="K91" s="73"/>
    </row>
  </sheetData>
  <mergeCells count="19">
    <mergeCell ref="K39:K44"/>
    <mergeCell ref="K46:K51"/>
    <mergeCell ref="K52:K54"/>
    <mergeCell ref="K55:K59"/>
    <mergeCell ref="K16:K21"/>
    <mergeCell ref="K22:K26"/>
    <mergeCell ref="K27:K33"/>
    <mergeCell ref="K34:K35"/>
    <mergeCell ref="K36:K37"/>
    <mergeCell ref="K1:K3"/>
    <mergeCell ref="K4:K6"/>
    <mergeCell ref="K8:K10"/>
    <mergeCell ref="K11:K13"/>
    <mergeCell ref="K14:K15"/>
    <mergeCell ref="K60:K66"/>
    <mergeCell ref="K67:K73"/>
    <mergeCell ref="K74:K78"/>
    <mergeCell ref="K79:K86"/>
    <mergeCell ref="K87:K91"/>
  </mergeCells>
  <phoneticPr fontId="2" type="noConversion"/>
  <dataValidations count="1">
    <dataValidation type="list" allowBlank="1" showInputMessage="1" showErrorMessage="1" sqref="D1:D91" xr:uid="{F1F4DE00-5AF2-40C2-A43C-FBE73A311CFA}">
      <formula1>"ЭИ,ДЦ,ФПП,ФОП,ОБП,РПУ,ПА,Картирование,5С,СР,СМЕД,АО,ОЕЕ,МРП"</formula1>
    </dataValidation>
  </dataValidation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D448-892E-42B1-8184-B086BF367EAD}">
  <dimension ref="B1:O8"/>
  <sheetViews>
    <sheetView topLeftCell="A9" workbookViewId="0">
      <selection activeCell="P16" sqref="P16"/>
    </sheetView>
  </sheetViews>
  <sheetFormatPr baseColWidth="10" defaultColWidth="8.83203125" defaultRowHeight="15" x14ac:dyDescent="0.2"/>
  <cols>
    <col min="2" max="2" width="18.83203125" customWidth="1"/>
    <col min="15" max="15" width="14.5" customWidth="1"/>
  </cols>
  <sheetData>
    <row r="1" spans="2:15" x14ac:dyDescent="0.2">
      <c r="B1" s="16" t="s">
        <v>33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41</v>
      </c>
    </row>
    <row r="2" spans="2:15" x14ac:dyDescent="0.2">
      <c r="B2" s="16" t="s">
        <v>36</v>
      </c>
      <c r="C2" s="2">
        <v>90</v>
      </c>
      <c r="D2" s="2">
        <v>78</v>
      </c>
      <c r="E2" s="2">
        <v>100</v>
      </c>
      <c r="F2" s="1"/>
      <c r="G2" s="1"/>
      <c r="H2" s="1"/>
      <c r="I2" s="1"/>
      <c r="J2" s="1"/>
      <c r="K2" s="1"/>
      <c r="L2" s="1"/>
      <c r="M2" s="16"/>
      <c r="N2" s="16"/>
      <c r="O2" s="16"/>
    </row>
    <row r="3" spans="2:15" x14ac:dyDescent="0.2">
      <c r="B3" s="16" t="s">
        <v>35</v>
      </c>
      <c r="C3" s="1"/>
      <c r="D3" s="2">
        <v>85</v>
      </c>
      <c r="E3" s="2">
        <v>80</v>
      </c>
      <c r="F3" s="2">
        <v>88</v>
      </c>
      <c r="G3" s="1"/>
      <c r="H3" s="1"/>
      <c r="I3" s="1"/>
      <c r="J3" s="1"/>
      <c r="K3" s="1"/>
      <c r="L3" s="1"/>
      <c r="M3" s="16"/>
      <c r="N3" s="16"/>
      <c r="O3" s="16"/>
    </row>
    <row r="4" spans="2:15" x14ac:dyDescent="0.2">
      <c r="B4" s="16" t="s">
        <v>37</v>
      </c>
      <c r="C4" s="1"/>
      <c r="D4" s="2">
        <v>76</v>
      </c>
      <c r="E4" s="2">
        <v>90</v>
      </c>
      <c r="F4" s="2">
        <v>84</v>
      </c>
      <c r="G4" s="1"/>
      <c r="H4" s="1"/>
      <c r="I4" s="1"/>
      <c r="J4" s="1"/>
      <c r="K4" s="1"/>
      <c r="L4" s="1"/>
      <c r="M4" s="16"/>
      <c r="N4" s="16"/>
      <c r="O4" s="16"/>
    </row>
    <row r="5" spans="2:15" x14ac:dyDescent="0.2">
      <c r="B5" s="16" t="s">
        <v>38</v>
      </c>
      <c r="C5" s="3">
        <v>57</v>
      </c>
      <c r="D5" s="2">
        <v>78</v>
      </c>
      <c r="E5" s="2">
        <v>85</v>
      </c>
      <c r="F5" s="2">
        <v>87</v>
      </c>
      <c r="G5" s="1"/>
      <c r="H5" s="1"/>
      <c r="I5" s="1"/>
      <c r="J5" s="1"/>
      <c r="K5" s="1"/>
      <c r="L5" s="1"/>
      <c r="M5" s="16"/>
      <c r="N5" s="16"/>
      <c r="O5" s="16"/>
    </row>
    <row r="6" spans="2:15" x14ac:dyDescent="0.2">
      <c r="B6" s="16" t="s">
        <v>39</v>
      </c>
      <c r="C6" s="2">
        <v>74</v>
      </c>
      <c r="D6" s="2">
        <v>76</v>
      </c>
      <c r="E6" s="2">
        <v>94</v>
      </c>
      <c r="F6" s="2">
        <v>71</v>
      </c>
      <c r="G6" s="1"/>
      <c r="H6" s="1"/>
      <c r="I6" s="1"/>
      <c r="J6" s="1"/>
      <c r="K6" s="1"/>
      <c r="L6" s="1"/>
      <c r="M6" s="16"/>
      <c r="N6" s="16"/>
      <c r="O6" s="16"/>
    </row>
    <row r="7" spans="2:15" x14ac:dyDescent="0.2">
      <c r="B7" s="16" t="s">
        <v>44</v>
      </c>
      <c r="C7" s="2">
        <v>80</v>
      </c>
      <c r="D7" s="2">
        <v>75</v>
      </c>
      <c r="E7" s="2">
        <v>86</v>
      </c>
      <c r="F7" s="2">
        <v>98</v>
      </c>
      <c r="G7" s="1"/>
      <c r="H7" s="1"/>
      <c r="I7" s="1"/>
      <c r="J7" s="1"/>
      <c r="K7" s="1"/>
      <c r="L7" s="1"/>
      <c r="M7" s="16"/>
      <c r="N7" s="16"/>
      <c r="O7" s="16"/>
    </row>
    <row r="8" spans="2:15" x14ac:dyDescent="0.2">
      <c r="B8" s="16" t="s">
        <v>40</v>
      </c>
      <c r="C8" s="1"/>
      <c r="D8" s="1"/>
      <c r="E8" s="2">
        <v>100</v>
      </c>
      <c r="F8" s="1"/>
      <c r="G8" s="1"/>
      <c r="H8" s="1"/>
      <c r="I8" s="1"/>
      <c r="J8" s="1"/>
      <c r="K8" s="1"/>
      <c r="L8" s="1"/>
      <c r="M8" s="16"/>
      <c r="N8" s="16"/>
      <c r="O8" s="16"/>
    </row>
  </sheetData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E115-4D0C-41F2-BF65-A4A0DA102DAB}">
  <dimension ref="A1:J10"/>
  <sheetViews>
    <sheetView workbookViewId="0">
      <selection activeCell="E23" sqref="E23"/>
    </sheetView>
  </sheetViews>
  <sheetFormatPr baseColWidth="10" defaultColWidth="8.83203125" defaultRowHeight="15" x14ac:dyDescent="0.2"/>
  <cols>
    <col min="3" max="3" width="25" customWidth="1"/>
    <col min="4" max="4" width="18.6640625" customWidth="1"/>
    <col min="5" max="5" width="35" customWidth="1"/>
  </cols>
  <sheetData>
    <row r="1" spans="1:10" x14ac:dyDescent="0.2">
      <c r="A1" s="30">
        <v>1</v>
      </c>
      <c r="B1" s="4">
        <v>27</v>
      </c>
      <c r="C1" s="7" t="s">
        <v>45</v>
      </c>
      <c r="D1" s="7" t="s">
        <v>19</v>
      </c>
      <c r="E1" s="8" t="s">
        <v>46</v>
      </c>
      <c r="F1" s="23">
        <v>14</v>
      </c>
      <c r="G1" s="23">
        <v>14</v>
      </c>
      <c r="H1" s="23">
        <v>1</v>
      </c>
      <c r="I1" s="23">
        <v>12</v>
      </c>
      <c r="J1" s="9">
        <f t="shared" ref="J1:J10" si="0">IFERROR(I1/G1-H1/G1,"")</f>
        <v>0.7857142857142857</v>
      </c>
    </row>
    <row r="2" spans="1:10" x14ac:dyDescent="0.2">
      <c r="A2" s="30">
        <v>1</v>
      </c>
      <c r="B2" s="4">
        <v>28</v>
      </c>
      <c r="C2" s="5" t="s">
        <v>34</v>
      </c>
      <c r="D2" s="5" t="s">
        <v>19</v>
      </c>
      <c r="E2" s="6" t="s">
        <v>47</v>
      </c>
      <c r="F2" s="24">
        <v>18</v>
      </c>
      <c r="G2" s="24">
        <v>18</v>
      </c>
      <c r="H2" s="24">
        <v>1</v>
      </c>
      <c r="I2" s="24">
        <v>14</v>
      </c>
      <c r="J2" s="9">
        <f t="shared" si="0"/>
        <v>0.72222222222222221</v>
      </c>
    </row>
    <row r="3" spans="1:10" x14ac:dyDescent="0.2">
      <c r="A3" s="30">
        <v>1</v>
      </c>
      <c r="B3" s="4">
        <v>29</v>
      </c>
      <c r="C3" s="7" t="s">
        <v>42</v>
      </c>
      <c r="D3" s="7" t="s">
        <v>20</v>
      </c>
      <c r="E3" s="8" t="s">
        <v>48</v>
      </c>
      <c r="F3" s="23">
        <v>10</v>
      </c>
      <c r="G3" s="23">
        <v>10</v>
      </c>
      <c r="H3" s="23">
        <v>0</v>
      </c>
      <c r="I3" s="23">
        <v>9</v>
      </c>
      <c r="J3" s="9">
        <f t="shared" si="0"/>
        <v>0.9</v>
      </c>
    </row>
    <row r="4" spans="1:10" x14ac:dyDescent="0.2">
      <c r="A4" s="30">
        <v>1</v>
      </c>
      <c r="B4" s="4">
        <v>22</v>
      </c>
      <c r="C4" s="5" t="s">
        <v>42</v>
      </c>
      <c r="D4" s="5" t="s">
        <v>16</v>
      </c>
      <c r="E4" s="6" t="s">
        <v>48</v>
      </c>
      <c r="F4" s="24">
        <v>11</v>
      </c>
      <c r="G4" s="24">
        <v>10</v>
      </c>
      <c r="H4" s="24">
        <v>0</v>
      </c>
      <c r="I4" s="24">
        <v>9</v>
      </c>
      <c r="J4" s="9">
        <f t="shared" si="0"/>
        <v>0.9</v>
      </c>
    </row>
    <row r="5" spans="1:10" x14ac:dyDescent="0.2">
      <c r="A5" s="22">
        <v>1</v>
      </c>
      <c r="B5" s="4">
        <v>20</v>
      </c>
      <c r="C5" s="5" t="s">
        <v>45</v>
      </c>
      <c r="D5" s="5" t="s">
        <v>16</v>
      </c>
      <c r="E5" s="6" t="s">
        <v>46</v>
      </c>
      <c r="F5" s="25">
        <v>13</v>
      </c>
      <c r="G5" s="25">
        <v>13</v>
      </c>
      <c r="H5" s="25">
        <v>1</v>
      </c>
      <c r="I5" s="25">
        <v>11</v>
      </c>
      <c r="J5" s="9">
        <f t="shared" si="0"/>
        <v>0.76923076923076916</v>
      </c>
    </row>
    <row r="6" spans="1:10" x14ac:dyDescent="0.2">
      <c r="A6" s="30">
        <v>1</v>
      </c>
      <c r="B6" s="4">
        <v>28</v>
      </c>
      <c r="C6" s="7" t="s">
        <v>22</v>
      </c>
      <c r="D6" s="7" t="s">
        <v>16</v>
      </c>
      <c r="E6" s="8" t="s">
        <v>49</v>
      </c>
      <c r="F6" s="23">
        <v>10</v>
      </c>
      <c r="G6" s="23">
        <v>7</v>
      </c>
      <c r="H6" s="23">
        <v>0</v>
      </c>
      <c r="I6" s="23">
        <v>4</v>
      </c>
      <c r="J6" s="27">
        <f t="shared" si="0"/>
        <v>0.5714285714285714</v>
      </c>
    </row>
    <row r="7" spans="1:10" x14ac:dyDescent="0.2">
      <c r="A7" s="30">
        <v>1</v>
      </c>
      <c r="B7" s="4">
        <v>22</v>
      </c>
      <c r="C7" s="7" t="s">
        <v>34</v>
      </c>
      <c r="D7" s="7" t="s">
        <v>16</v>
      </c>
      <c r="E7" s="8" t="s">
        <v>47</v>
      </c>
      <c r="F7" s="26">
        <v>17</v>
      </c>
      <c r="G7" s="26">
        <v>15</v>
      </c>
      <c r="H7" s="26">
        <v>0</v>
      </c>
      <c r="I7" s="26">
        <v>11</v>
      </c>
      <c r="J7" s="9">
        <f t="shared" si="0"/>
        <v>0.73333333333333328</v>
      </c>
    </row>
    <row r="8" spans="1:10" x14ac:dyDescent="0.2">
      <c r="A8" s="30">
        <v>1</v>
      </c>
      <c r="B8" s="4">
        <v>26</v>
      </c>
      <c r="C8" s="5" t="s">
        <v>42</v>
      </c>
      <c r="D8" s="5" t="s">
        <v>18</v>
      </c>
      <c r="E8" s="6" t="s">
        <v>48</v>
      </c>
      <c r="F8" s="25">
        <v>10</v>
      </c>
      <c r="G8" s="25">
        <v>9</v>
      </c>
      <c r="H8" s="25">
        <v>0</v>
      </c>
      <c r="I8" s="25">
        <v>8</v>
      </c>
      <c r="J8" s="9">
        <f t="shared" si="0"/>
        <v>0.88888888888888884</v>
      </c>
    </row>
    <row r="9" spans="1:10" x14ac:dyDescent="0.2">
      <c r="A9" s="30">
        <v>1</v>
      </c>
      <c r="B9" s="4">
        <v>27</v>
      </c>
      <c r="C9" s="5" t="s">
        <v>45</v>
      </c>
      <c r="D9" s="5" t="s">
        <v>18</v>
      </c>
      <c r="E9" s="6" t="s">
        <v>46</v>
      </c>
      <c r="F9" s="25">
        <v>14</v>
      </c>
      <c r="G9" s="25">
        <v>14</v>
      </c>
      <c r="H9" s="25">
        <v>1</v>
      </c>
      <c r="I9" s="25">
        <v>13</v>
      </c>
      <c r="J9" s="9">
        <f t="shared" si="0"/>
        <v>0.85714285714285721</v>
      </c>
    </row>
    <row r="10" spans="1:10" x14ac:dyDescent="0.2">
      <c r="A10" s="30">
        <v>1</v>
      </c>
      <c r="B10" s="4">
        <v>28</v>
      </c>
      <c r="C10" s="7" t="s">
        <v>34</v>
      </c>
      <c r="D10" s="7" t="s">
        <v>18</v>
      </c>
      <c r="E10" s="8" t="s">
        <v>47</v>
      </c>
      <c r="F10" s="26">
        <v>18</v>
      </c>
      <c r="G10" s="26">
        <v>17</v>
      </c>
      <c r="H10" s="26">
        <v>0</v>
      </c>
      <c r="I10" s="26">
        <v>13</v>
      </c>
      <c r="J10" s="9">
        <f t="shared" si="0"/>
        <v>0.76470588235294112</v>
      </c>
    </row>
  </sheetData>
  <sortState xmlns:xlrd2="http://schemas.microsoft.com/office/spreadsheetml/2017/richdata2" ref="A1:J10">
    <sortCondition ref="D1:D10"/>
  </sortState>
  <dataValidations count="1">
    <dataValidation type="list" allowBlank="1" showInputMessage="1" showErrorMessage="1" sqref="D1:D10" xr:uid="{53E834F4-1282-4C0D-942D-DCD39670B7C2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4EE3-B546-4D54-9315-1697609D7AC2}">
  <dimension ref="A1:N25"/>
  <sheetViews>
    <sheetView workbookViewId="0">
      <selection activeCell="O33" sqref="O33"/>
    </sheetView>
  </sheetViews>
  <sheetFormatPr baseColWidth="10" defaultColWidth="8.83203125" defaultRowHeight="15" x14ac:dyDescent="0.2"/>
  <cols>
    <col min="3" max="3" width="33.6640625" customWidth="1"/>
    <col min="4" max="4" width="19.33203125" customWidth="1"/>
    <col min="5" max="5" width="45.1640625" customWidth="1"/>
  </cols>
  <sheetData>
    <row r="1" spans="1:14" s="13" customFormat="1" ht="14" x14ac:dyDescent="0.15">
      <c r="A1" s="21">
        <v>2</v>
      </c>
      <c r="B1" s="10">
        <v>19</v>
      </c>
      <c r="C1" s="11" t="s">
        <v>17</v>
      </c>
      <c r="D1" s="11" t="s">
        <v>19</v>
      </c>
      <c r="E1" s="31" t="s">
        <v>50</v>
      </c>
      <c r="F1" s="28">
        <v>7</v>
      </c>
      <c r="G1" s="28">
        <v>7</v>
      </c>
      <c r="H1" s="28">
        <v>0</v>
      </c>
      <c r="I1" s="28">
        <v>6</v>
      </c>
      <c r="J1" s="32">
        <f t="shared" ref="J1:J25" si="0">IFERROR(I1/G1-H1/G1,"")</f>
        <v>0.8571428571428571</v>
      </c>
      <c r="K1" s="23"/>
      <c r="L1" s="23"/>
      <c r="M1" s="23"/>
      <c r="N1" s="23"/>
    </row>
    <row r="2" spans="1:14" s="13" customFormat="1" ht="14" x14ac:dyDescent="0.15">
      <c r="A2" s="20">
        <v>2</v>
      </c>
      <c r="B2" s="10">
        <v>12</v>
      </c>
      <c r="C2" s="11" t="s">
        <v>17</v>
      </c>
      <c r="D2" s="11" t="s">
        <v>16</v>
      </c>
      <c r="E2" s="31" t="s">
        <v>50</v>
      </c>
      <c r="F2" s="23">
        <v>7</v>
      </c>
      <c r="G2" s="23">
        <v>6</v>
      </c>
      <c r="H2" s="23">
        <v>0</v>
      </c>
      <c r="I2" s="23">
        <v>5</v>
      </c>
      <c r="J2" s="32">
        <f t="shared" si="0"/>
        <v>0.83333333333333337</v>
      </c>
      <c r="K2" s="23"/>
      <c r="L2" s="23"/>
      <c r="M2" s="23"/>
      <c r="N2" s="23"/>
    </row>
    <row r="3" spans="1:14" s="13" customFormat="1" ht="14" x14ac:dyDescent="0.15">
      <c r="A3" s="20">
        <v>2</v>
      </c>
      <c r="B3" s="10">
        <v>19</v>
      </c>
      <c r="C3" s="11" t="s">
        <v>17</v>
      </c>
      <c r="D3" s="11" t="s">
        <v>18</v>
      </c>
      <c r="E3" s="31" t="s">
        <v>50</v>
      </c>
      <c r="F3" s="23">
        <v>7</v>
      </c>
      <c r="G3" s="23">
        <v>7</v>
      </c>
      <c r="H3" s="23">
        <v>0</v>
      </c>
      <c r="I3" s="23">
        <v>6</v>
      </c>
      <c r="J3" s="32">
        <f t="shared" si="0"/>
        <v>0.8571428571428571</v>
      </c>
      <c r="K3" s="23"/>
      <c r="L3" s="23"/>
      <c r="M3" s="23"/>
      <c r="N3" s="23"/>
    </row>
    <row r="4" spans="1:14" s="13" customFormat="1" ht="14" x14ac:dyDescent="0.15">
      <c r="A4" s="20">
        <v>2</v>
      </c>
      <c r="B4" s="10">
        <v>5</v>
      </c>
      <c r="C4" s="11" t="s">
        <v>42</v>
      </c>
      <c r="D4" s="11" t="s">
        <v>19</v>
      </c>
      <c r="E4" s="31" t="s">
        <v>48</v>
      </c>
      <c r="F4" s="23">
        <v>11</v>
      </c>
      <c r="G4" s="23">
        <v>10</v>
      </c>
      <c r="H4" s="23">
        <v>0</v>
      </c>
      <c r="I4" s="23">
        <v>8</v>
      </c>
      <c r="J4" s="32">
        <f t="shared" si="0"/>
        <v>0.8</v>
      </c>
      <c r="K4" s="23"/>
      <c r="L4" s="23"/>
      <c r="M4" s="23"/>
      <c r="N4" s="23"/>
    </row>
    <row r="5" spans="1:14" s="13" customFormat="1" ht="14" x14ac:dyDescent="0.15">
      <c r="A5" s="20">
        <v>2</v>
      </c>
      <c r="B5" s="10">
        <v>5</v>
      </c>
      <c r="C5" s="11" t="s">
        <v>42</v>
      </c>
      <c r="D5" s="11" t="s">
        <v>21</v>
      </c>
      <c r="E5" s="31" t="s">
        <v>48</v>
      </c>
      <c r="F5" s="23">
        <v>11</v>
      </c>
      <c r="G5" s="23">
        <v>8</v>
      </c>
      <c r="H5" s="23">
        <v>0</v>
      </c>
      <c r="I5" s="23">
        <v>6</v>
      </c>
      <c r="J5" s="32">
        <f t="shared" si="0"/>
        <v>0.75</v>
      </c>
      <c r="K5" s="23"/>
      <c r="L5" s="23"/>
      <c r="M5" s="23"/>
      <c r="N5" s="23"/>
    </row>
    <row r="6" spans="1:14" s="13" customFormat="1" ht="14" x14ac:dyDescent="0.15">
      <c r="A6" s="21">
        <v>2</v>
      </c>
      <c r="B6" s="10">
        <v>26</v>
      </c>
      <c r="C6" s="11" t="s">
        <v>45</v>
      </c>
      <c r="D6" s="11" t="s">
        <v>19</v>
      </c>
      <c r="E6" s="31" t="s">
        <v>53</v>
      </c>
      <c r="F6" s="23">
        <v>5</v>
      </c>
      <c r="G6" s="23">
        <v>4</v>
      </c>
      <c r="H6" s="23">
        <v>0</v>
      </c>
      <c r="I6" s="23">
        <v>3</v>
      </c>
      <c r="J6" s="32">
        <f t="shared" si="0"/>
        <v>0.75</v>
      </c>
      <c r="K6" s="23"/>
      <c r="L6" s="23"/>
      <c r="M6" s="23"/>
      <c r="N6" s="23"/>
    </row>
    <row r="7" spans="1:14" s="13" customFormat="1" ht="14" x14ac:dyDescent="0.15">
      <c r="A7" s="20">
        <v>2</v>
      </c>
      <c r="B7" s="10">
        <v>3</v>
      </c>
      <c r="C7" s="11" t="s">
        <v>45</v>
      </c>
      <c r="D7" s="11" t="s">
        <v>20</v>
      </c>
      <c r="E7" s="31" t="s">
        <v>46</v>
      </c>
      <c r="F7" s="23">
        <v>14</v>
      </c>
      <c r="G7" s="23">
        <v>14</v>
      </c>
      <c r="H7" s="23">
        <v>1</v>
      </c>
      <c r="I7" s="23">
        <v>11</v>
      </c>
      <c r="J7" s="32">
        <f t="shared" si="0"/>
        <v>0.7142857142857143</v>
      </c>
      <c r="K7" s="23"/>
      <c r="L7" s="23"/>
      <c r="M7" s="23"/>
      <c r="N7" s="23"/>
    </row>
    <row r="8" spans="1:14" s="13" customFormat="1" ht="14" x14ac:dyDescent="0.15">
      <c r="A8" s="20">
        <v>2</v>
      </c>
      <c r="B8" s="10">
        <v>17</v>
      </c>
      <c r="C8" s="11" t="s">
        <v>45</v>
      </c>
      <c r="D8" s="11" t="s">
        <v>20</v>
      </c>
      <c r="E8" s="31" t="s">
        <v>50</v>
      </c>
      <c r="F8" s="23">
        <v>8</v>
      </c>
      <c r="G8" s="23">
        <v>7</v>
      </c>
      <c r="H8" s="23">
        <v>0</v>
      </c>
      <c r="I8" s="23">
        <v>5</v>
      </c>
      <c r="J8" s="32">
        <f t="shared" si="0"/>
        <v>0.7142857142857143</v>
      </c>
      <c r="K8" s="23"/>
      <c r="L8" s="23"/>
      <c r="M8" s="23"/>
      <c r="N8" s="23"/>
    </row>
    <row r="9" spans="1:14" s="13" customFormat="1" ht="14" x14ac:dyDescent="0.15">
      <c r="A9" s="20">
        <v>2</v>
      </c>
      <c r="B9" s="10">
        <v>3</v>
      </c>
      <c r="C9" s="11" t="s">
        <v>45</v>
      </c>
      <c r="D9" s="11" t="s">
        <v>21</v>
      </c>
      <c r="E9" s="31" t="s">
        <v>46</v>
      </c>
      <c r="F9" s="23">
        <v>14</v>
      </c>
      <c r="G9" s="23">
        <v>14</v>
      </c>
      <c r="H9" s="23">
        <v>1</v>
      </c>
      <c r="I9" s="23">
        <v>11</v>
      </c>
      <c r="J9" s="32">
        <f t="shared" si="0"/>
        <v>0.7142857142857143</v>
      </c>
      <c r="K9" s="23"/>
      <c r="L9" s="23"/>
      <c r="M9" s="23"/>
      <c r="N9" s="23"/>
    </row>
    <row r="10" spans="1:14" s="13" customFormat="1" ht="14" x14ac:dyDescent="0.15">
      <c r="A10" s="20">
        <v>2</v>
      </c>
      <c r="B10" s="10">
        <v>17</v>
      </c>
      <c r="C10" s="11" t="s">
        <v>45</v>
      </c>
      <c r="D10" s="11" t="s">
        <v>21</v>
      </c>
      <c r="E10" s="31" t="s">
        <v>50</v>
      </c>
      <c r="F10" s="23">
        <v>8</v>
      </c>
      <c r="G10" s="23">
        <v>8</v>
      </c>
      <c r="H10" s="23">
        <v>0</v>
      </c>
      <c r="I10" s="23">
        <v>6</v>
      </c>
      <c r="J10" s="32">
        <f t="shared" si="0"/>
        <v>0.75</v>
      </c>
      <c r="K10" s="23"/>
      <c r="L10" s="23"/>
      <c r="M10" s="23"/>
      <c r="N10" s="23"/>
    </row>
    <row r="11" spans="1:14" s="13" customFormat="1" ht="14" x14ac:dyDescent="0.15">
      <c r="A11" s="21">
        <v>2</v>
      </c>
      <c r="B11" s="10">
        <v>26</v>
      </c>
      <c r="C11" s="11" t="s">
        <v>45</v>
      </c>
      <c r="D11" s="11" t="s">
        <v>18</v>
      </c>
      <c r="E11" s="12" t="s">
        <v>53</v>
      </c>
      <c r="F11" s="23">
        <v>7</v>
      </c>
      <c r="G11" s="23">
        <v>6</v>
      </c>
      <c r="H11" s="23">
        <v>0</v>
      </c>
      <c r="I11" s="23">
        <v>5</v>
      </c>
      <c r="J11" s="32">
        <f t="shared" si="0"/>
        <v>0.83333333333333337</v>
      </c>
      <c r="K11" s="23"/>
      <c r="L11" s="23"/>
      <c r="M11" s="23"/>
      <c r="N11" s="23"/>
    </row>
    <row r="12" spans="1:14" s="13" customFormat="1" ht="14" x14ac:dyDescent="0.15">
      <c r="A12" s="21">
        <v>2</v>
      </c>
      <c r="B12" s="10">
        <v>25</v>
      </c>
      <c r="C12" s="11" t="s">
        <v>15</v>
      </c>
      <c r="D12" s="11" t="s">
        <v>19</v>
      </c>
      <c r="E12" s="31" t="s">
        <v>52</v>
      </c>
      <c r="F12" s="23">
        <v>11</v>
      </c>
      <c r="G12" s="23">
        <v>6</v>
      </c>
      <c r="H12" s="23">
        <v>0</v>
      </c>
      <c r="I12" s="23">
        <v>5</v>
      </c>
      <c r="J12" s="32">
        <f t="shared" si="0"/>
        <v>0.83333333333333337</v>
      </c>
      <c r="K12" s="23"/>
      <c r="L12" s="23"/>
      <c r="M12" s="23"/>
      <c r="N12" s="23"/>
    </row>
    <row r="13" spans="1:14" s="13" customFormat="1" ht="14" x14ac:dyDescent="0.15">
      <c r="A13" s="21">
        <v>2</v>
      </c>
      <c r="B13" s="10">
        <v>26</v>
      </c>
      <c r="C13" s="11" t="s">
        <v>15</v>
      </c>
      <c r="D13" s="11" t="s">
        <v>20</v>
      </c>
      <c r="E13" s="31" t="s">
        <v>52</v>
      </c>
      <c r="F13" s="23">
        <v>13</v>
      </c>
      <c r="G13" s="23">
        <v>8</v>
      </c>
      <c r="H13" s="23">
        <v>0</v>
      </c>
      <c r="I13" s="23">
        <v>6</v>
      </c>
      <c r="J13" s="32">
        <f t="shared" si="0"/>
        <v>0.75</v>
      </c>
      <c r="K13" s="23"/>
      <c r="L13" s="23"/>
      <c r="M13" s="23"/>
      <c r="N13" s="23"/>
    </row>
    <row r="14" spans="1:14" s="13" customFormat="1" ht="14" x14ac:dyDescent="0.15">
      <c r="A14" s="20">
        <v>2</v>
      </c>
      <c r="B14" s="10">
        <v>18</v>
      </c>
      <c r="C14" s="11" t="s">
        <v>15</v>
      </c>
      <c r="D14" s="11" t="s">
        <v>16</v>
      </c>
      <c r="E14" s="31" t="s">
        <v>52</v>
      </c>
      <c r="F14" s="23">
        <v>11</v>
      </c>
      <c r="G14" s="23">
        <v>8</v>
      </c>
      <c r="H14" s="23">
        <v>0</v>
      </c>
      <c r="I14" s="23">
        <v>6</v>
      </c>
      <c r="J14" s="32">
        <f t="shared" si="0"/>
        <v>0.75</v>
      </c>
      <c r="K14" s="23"/>
      <c r="L14" s="23"/>
      <c r="M14" s="23"/>
      <c r="N14" s="23"/>
    </row>
    <row r="15" spans="1:14" s="13" customFormat="1" ht="14" x14ac:dyDescent="0.15">
      <c r="A15" s="21">
        <v>2</v>
      </c>
      <c r="B15" s="10">
        <v>26</v>
      </c>
      <c r="C15" s="11" t="s">
        <v>15</v>
      </c>
      <c r="D15" s="11" t="s">
        <v>21</v>
      </c>
      <c r="E15" s="12" t="s">
        <v>52</v>
      </c>
      <c r="F15" s="23">
        <v>13</v>
      </c>
      <c r="G15" s="23">
        <v>7</v>
      </c>
      <c r="H15" s="23">
        <v>0</v>
      </c>
      <c r="I15" s="23">
        <v>5</v>
      </c>
      <c r="J15" s="32">
        <f t="shared" si="0"/>
        <v>0.7142857142857143</v>
      </c>
      <c r="K15" s="23"/>
      <c r="L15" s="23"/>
      <c r="M15" s="23"/>
      <c r="N15" s="23"/>
    </row>
    <row r="16" spans="1:14" s="13" customFormat="1" ht="14" x14ac:dyDescent="0.15">
      <c r="A16" s="21">
        <v>2</v>
      </c>
      <c r="B16" s="10">
        <v>25</v>
      </c>
      <c r="C16" s="11" t="s">
        <v>15</v>
      </c>
      <c r="D16" s="11" t="s">
        <v>18</v>
      </c>
      <c r="E16" s="12" t="s">
        <v>52</v>
      </c>
      <c r="F16" s="23">
        <v>12</v>
      </c>
      <c r="G16" s="23">
        <v>8</v>
      </c>
      <c r="H16" s="23">
        <v>0</v>
      </c>
      <c r="I16" s="23">
        <v>6</v>
      </c>
      <c r="J16" s="32">
        <f t="shared" si="0"/>
        <v>0.75</v>
      </c>
      <c r="K16" s="23"/>
      <c r="L16" s="23"/>
      <c r="M16" s="23"/>
      <c r="N16" s="23"/>
    </row>
    <row r="17" spans="1:14" s="13" customFormat="1" ht="14" x14ac:dyDescent="0.15">
      <c r="A17" s="20">
        <v>2</v>
      </c>
      <c r="B17" s="10">
        <v>5</v>
      </c>
      <c r="C17" s="11" t="s">
        <v>22</v>
      </c>
      <c r="D17" s="11" t="s">
        <v>19</v>
      </c>
      <c r="E17" s="12" t="s">
        <v>49</v>
      </c>
      <c r="F17" s="23">
        <v>10</v>
      </c>
      <c r="G17" s="23">
        <v>8</v>
      </c>
      <c r="H17" s="23">
        <v>0</v>
      </c>
      <c r="I17" s="23">
        <v>6</v>
      </c>
      <c r="J17" s="32">
        <f t="shared" si="0"/>
        <v>0.75</v>
      </c>
      <c r="K17" s="23"/>
      <c r="L17" s="23"/>
      <c r="M17" s="23"/>
      <c r="N17" s="23"/>
    </row>
    <row r="18" spans="1:14" s="13" customFormat="1" ht="14" x14ac:dyDescent="0.15">
      <c r="A18" s="20">
        <v>2</v>
      </c>
      <c r="B18" s="10">
        <v>10</v>
      </c>
      <c r="C18" s="11" t="s">
        <v>22</v>
      </c>
      <c r="D18" s="11" t="s">
        <v>20</v>
      </c>
      <c r="E18" s="12" t="s">
        <v>49</v>
      </c>
      <c r="F18" s="23">
        <v>10</v>
      </c>
      <c r="G18" s="23">
        <v>8</v>
      </c>
      <c r="H18" s="23">
        <v>0</v>
      </c>
      <c r="I18" s="23">
        <v>6</v>
      </c>
      <c r="J18" s="32">
        <f t="shared" si="0"/>
        <v>0.75</v>
      </c>
      <c r="K18" s="23"/>
      <c r="L18" s="23"/>
      <c r="M18" s="23"/>
      <c r="N18" s="23"/>
    </row>
    <row r="19" spans="1:14" s="13" customFormat="1" ht="14" x14ac:dyDescent="0.15">
      <c r="A19" s="20">
        <v>2</v>
      </c>
      <c r="B19" s="10">
        <v>12</v>
      </c>
      <c r="C19" s="11" t="s">
        <v>22</v>
      </c>
      <c r="D19" s="11" t="s">
        <v>16</v>
      </c>
      <c r="E19" s="12" t="s">
        <v>51</v>
      </c>
      <c r="F19" s="23">
        <v>9</v>
      </c>
      <c r="G19" s="23">
        <v>7</v>
      </c>
      <c r="H19" s="23">
        <v>1</v>
      </c>
      <c r="I19" s="23">
        <v>5</v>
      </c>
      <c r="J19" s="33">
        <f t="shared" si="0"/>
        <v>0.5714285714285714</v>
      </c>
      <c r="K19" s="23"/>
      <c r="L19" s="23"/>
      <c r="M19" s="23"/>
      <c r="N19" s="23"/>
    </row>
    <row r="20" spans="1:14" s="13" customFormat="1" ht="14" x14ac:dyDescent="0.15">
      <c r="A20" s="20">
        <v>2</v>
      </c>
      <c r="B20" s="10">
        <v>19</v>
      </c>
      <c r="C20" s="11" t="s">
        <v>22</v>
      </c>
      <c r="D20" s="11" t="s">
        <v>16</v>
      </c>
      <c r="E20" s="31" t="s">
        <v>53</v>
      </c>
      <c r="F20" s="23">
        <v>7</v>
      </c>
      <c r="G20" s="23">
        <v>7</v>
      </c>
      <c r="H20" s="23">
        <v>0</v>
      </c>
      <c r="I20" s="28">
        <v>6</v>
      </c>
      <c r="J20" s="32">
        <f t="shared" si="0"/>
        <v>0.8571428571428571</v>
      </c>
      <c r="K20" s="23"/>
      <c r="L20" s="23"/>
      <c r="M20" s="23"/>
      <c r="N20" s="23"/>
    </row>
    <row r="21" spans="1:14" s="13" customFormat="1" ht="14" x14ac:dyDescent="0.15">
      <c r="A21" s="21">
        <v>2</v>
      </c>
      <c r="B21" s="10">
        <v>26</v>
      </c>
      <c r="C21" s="11" t="s">
        <v>22</v>
      </c>
      <c r="D21" s="11" t="s">
        <v>16</v>
      </c>
      <c r="E21" s="31" t="s">
        <v>54</v>
      </c>
      <c r="F21" s="23">
        <v>15</v>
      </c>
      <c r="G21" s="23">
        <v>10</v>
      </c>
      <c r="H21" s="23">
        <v>0</v>
      </c>
      <c r="I21" s="23">
        <v>9</v>
      </c>
      <c r="J21" s="32">
        <f t="shared" si="0"/>
        <v>0.9</v>
      </c>
      <c r="K21" s="23"/>
      <c r="L21" s="23"/>
      <c r="M21" s="23"/>
      <c r="N21" s="23"/>
    </row>
    <row r="22" spans="1:14" s="13" customFormat="1" ht="14" x14ac:dyDescent="0.15">
      <c r="A22" s="20">
        <v>2</v>
      </c>
      <c r="B22" s="10">
        <v>10</v>
      </c>
      <c r="C22" s="11" t="s">
        <v>22</v>
      </c>
      <c r="D22" s="11" t="s">
        <v>21</v>
      </c>
      <c r="E22" s="31" t="s">
        <v>49</v>
      </c>
      <c r="F22" s="23">
        <v>10</v>
      </c>
      <c r="G22" s="23">
        <v>8</v>
      </c>
      <c r="H22" s="23">
        <v>0</v>
      </c>
      <c r="I22" s="23">
        <v>6</v>
      </c>
      <c r="J22" s="32">
        <f t="shared" si="0"/>
        <v>0.75</v>
      </c>
      <c r="K22" s="23"/>
      <c r="L22" s="23"/>
      <c r="M22" s="23"/>
      <c r="N22" s="23"/>
    </row>
    <row r="23" spans="1:14" s="13" customFormat="1" ht="14" x14ac:dyDescent="0.15">
      <c r="A23" s="20">
        <v>2</v>
      </c>
      <c r="B23" s="10">
        <v>5</v>
      </c>
      <c r="C23" s="11" t="s">
        <v>22</v>
      </c>
      <c r="D23" s="11" t="s">
        <v>18</v>
      </c>
      <c r="E23" s="31" t="s">
        <v>49</v>
      </c>
      <c r="F23" s="23">
        <v>11</v>
      </c>
      <c r="G23" s="23">
        <v>8</v>
      </c>
      <c r="H23" s="23">
        <v>0</v>
      </c>
      <c r="I23" s="23">
        <v>7</v>
      </c>
      <c r="J23" s="32">
        <f t="shared" si="0"/>
        <v>0.875</v>
      </c>
      <c r="K23" s="23"/>
      <c r="L23" s="23"/>
      <c r="M23" s="23"/>
      <c r="N23" s="23"/>
    </row>
    <row r="24" spans="1:14" s="13" customFormat="1" ht="14" x14ac:dyDescent="0.15">
      <c r="A24" s="20">
        <v>2</v>
      </c>
      <c r="B24" s="10">
        <v>9</v>
      </c>
      <c r="C24" s="11" t="s">
        <v>34</v>
      </c>
      <c r="D24" s="11" t="s">
        <v>20</v>
      </c>
      <c r="E24" s="31" t="s">
        <v>47</v>
      </c>
      <c r="F24" s="23">
        <v>17</v>
      </c>
      <c r="G24" s="23">
        <v>17</v>
      </c>
      <c r="H24" s="23">
        <v>0</v>
      </c>
      <c r="I24" s="23">
        <v>13</v>
      </c>
      <c r="J24" s="32">
        <f t="shared" si="0"/>
        <v>0.76470588235294112</v>
      </c>
      <c r="K24" s="23"/>
      <c r="L24" s="23"/>
      <c r="M24" s="23"/>
      <c r="N24" s="23"/>
    </row>
    <row r="25" spans="1:14" s="13" customFormat="1" ht="14" x14ac:dyDescent="0.15">
      <c r="A25" s="20">
        <v>2</v>
      </c>
      <c r="B25" s="10">
        <v>9</v>
      </c>
      <c r="C25" s="11" t="s">
        <v>34</v>
      </c>
      <c r="D25" s="11" t="s">
        <v>21</v>
      </c>
      <c r="E25" s="31" t="s">
        <v>47</v>
      </c>
      <c r="F25" s="23">
        <v>18</v>
      </c>
      <c r="G25" s="23">
        <v>17</v>
      </c>
      <c r="H25" s="23">
        <v>1</v>
      </c>
      <c r="I25" s="23">
        <v>14</v>
      </c>
      <c r="J25" s="32">
        <f t="shared" si="0"/>
        <v>0.76470588235294112</v>
      </c>
      <c r="K25" s="23"/>
      <c r="L25" s="23"/>
      <c r="M25" s="23"/>
      <c r="N25" s="23"/>
    </row>
  </sheetData>
  <sortState xmlns:xlrd2="http://schemas.microsoft.com/office/spreadsheetml/2017/richdata2" ref="A1:J25">
    <sortCondition ref="C1:C25"/>
  </sortState>
  <dataValidations count="1">
    <dataValidation type="list" allowBlank="1" showInputMessage="1" showErrorMessage="1" sqref="D1:D25" xr:uid="{12AAB0A2-4421-453F-8C01-BC3984F561AD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7BE2-810C-4E1B-84C5-7FA1A40F764C}">
  <dimension ref="A1:N24"/>
  <sheetViews>
    <sheetView workbookViewId="0">
      <selection activeCell="E16" sqref="E16"/>
    </sheetView>
  </sheetViews>
  <sheetFormatPr baseColWidth="10" defaultColWidth="8.83203125" defaultRowHeight="15" x14ac:dyDescent="0.2"/>
  <cols>
    <col min="3" max="3" width="28.5" customWidth="1"/>
    <col min="4" max="4" width="25.33203125" customWidth="1"/>
    <col min="5" max="5" width="30.5" customWidth="1"/>
  </cols>
  <sheetData>
    <row r="1" spans="1:14" s="13" customFormat="1" ht="14" x14ac:dyDescent="0.15">
      <c r="A1" s="21">
        <v>3</v>
      </c>
      <c r="B1" s="10">
        <v>27</v>
      </c>
      <c r="C1" s="11" t="s">
        <v>17</v>
      </c>
      <c r="D1" s="11" t="s">
        <v>20</v>
      </c>
      <c r="E1" s="12" t="s">
        <v>56</v>
      </c>
      <c r="F1" s="23">
        <v>14</v>
      </c>
      <c r="G1" s="23">
        <v>10</v>
      </c>
      <c r="H1" s="23">
        <v>0</v>
      </c>
      <c r="I1" s="23">
        <v>8</v>
      </c>
      <c r="J1" s="32">
        <f t="shared" ref="J1:J24" si="0">IFERROR(I1/G1-H1/G1,"")</f>
        <v>0.8</v>
      </c>
      <c r="K1" s="23"/>
      <c r="L1" s="23"/>
      <c r="M1" s="23"/>
      <c r="N1" s="23"/>
    </row>
    <row r="2" spans="1:14" s="13" customFormat="1" ht="14" x14ac:dyDescent="0.15">
      <c r="A2" s="21">
        <v>3</v>
      </c>
      <c r="B2" s="10">
        <v>27</v>
      </c>
      <c r="C2" s="11" t="s">
        <v>17</v>
      </c>
      <c r="D2" s="11" t="s">
        <v>21</v>
      </c>
      <c r="E2" s="12" t="s">
        <v>56</v>
      </c>
      <c r="F2" s="23">
        <v>14</v>
      </c>
      <c r="G2" s="23">
        <v>10</v>
      </c>
      <c r="H2" s="23">
        <v>0</v>
      </c>
      <c r="I2" s="23">
        <v>8</v>
      </c>
      <c r="J2" s="32">
        <f t="shared" si="0"/>
        <v>0.8</v>
      </c>
      <c r="K2" s="23"/>
      <c r="L2" s="23"/>
      <c r="M2" s="23"/>
      <c r="N2" s="23"/>
    </row>
    <row r="3" spans="1:14" s="13" customFormat="1" ht="14" x14ac:dyDescent="0.15">
      <c r="A3" s="21">
        <v>3</v>
      </c>
      <c r="B3" s="10">
        <v>5</v>
      </c>
      <c r="C3" s="11" t="s">
        <v>42</v>
      </c>
      <c r="D3" s="11" t="s">
        <v>31</v>
      </c>
      <c r="E3" s="12" t="s">
        <v>48</v>
      </c>
      <c r="F3" s="23">
        <v>9</v>
      </c>
      <c r="G3" s="23">
        <v>7</v>
      </c>
      <c r="H3" s="23">
        <v>0</v>
      </c>
      <c r="I3" s="23">
        <v>7</v>
      </c>
      <c r="J3" s="32">
        <f t="shared" si="0"/>
        <v>1</v>
      </c>
      <c r="K3" s="23"/>
      <c r="L3" s="23"/>
      <c r="M3" s="23"/>
      <c r="N3" s="23"/>
    </row>
    <row r="4" spans="1:14" s="13" customFormat="1" ht="14" x14ac:dyDescent="0.15">
      <c r="A4" s="21">
        <v>3</v>
      </c>
      <c r="B4" s="10">
        <v>5</v>
      </c>
      <c r="C4" s="11" t="s">
        <v>45</v>
      </c>
      <c r="D4" s="11" t="s">
        <v>19</v>
      </c>
      <c r="E4" s="12" t="s">
        <v>55</v>
      </c>
      <c r="F4" s="23">
        <v>11</v>
      </c>
      <c r="G4" s="23">
        <v>5</v>
      </c>
      <c r="H4" s="23">
        <v>0</v>
      </c>
      <c r="I4" s="23">
        <v>5</v>
      </c>
      <c r="J4" s="32">
        <f t="shared" si="0"/>
        <v>1</v>
      </c>
      <c r="K4" s="23"/>
      <c r="L4" s="23"/>
      <c r="M4" s="23"/>
      <c r="N4" s="23"/>
    </row>
    <row r="5" spans="1:14" s="13" customFormat="1" ht="14" x14ac:dyDescent="0.15">
      <c r="A5" s="21">
        <v>3</v>
      </c>
      <c r="B5" s="10">
        <v>20</v>
      </c>
      <c r="C5" s="11" t="s">
        <v>45</v>
      </c>
      <c r="D5" s="11" t="s">
        <v>19</v>
      </c>
      <c r="E5" s="12" t="s">
        <v>56</v>
      </c>
      <c r="F5" s="23">
        <v>14</v>
      </c>
      <c r="G5" s="23">
        <v>13</v>
      </c>
      <c r="H5" s="23">
        <v>0</v>
      </c>
      <c r="I5" s="23">
        <v>10</v>
      </c>
      <c r="J5" s="32">
        <f t="shared" si="0"/>
        <v>0.76923076923076927</v>
      </c>
      <c r="K5" s="23"/>
      <c r="L5" s="23"/>
      <c r="M5" s="23"/>
      <c r="N5" s="23"/>
    </row>
    <row r="6" spans="1:14" s="13" customFormat="1" ht="14" x14ac:dyDescent="0.15">
      <c r="A6" s="21">
        <v>3</v>
      </c>
      <c r="B6" s="10">
        <v>13</v>
      </c>
      <c r="C6" s="11" t="s">
        <v>45</v>
      </c>
      <c r="D6" s="11" t="s">
        <v>16</v>
      </c>
      <c r="E6" s="12" t="s">
        <v>56</v>
      </c>
      <c r="F6" s="23">
        <v>14</v>
      </c>
      <c r="G6" s="23">
        <v>14</v>
      </c>
      <c r="H6" s="23">
        <v>0</v>
      </c>
      <c r="I6" s="23">
        <v>11</v>
      </c>
      <c r="J6" s="32">
        <f t="shared" si="0"/>
        <v>0.7857142857142857</v>
      </c>
      <c r="K6" s="23"/>
      <c r="L6" s="23"/>
      <c r="M6" s="23"/>
      <c r="N6" s="23"/>
    </row>
    <row r="7" spans="1:14" s="13" customFormat="1" ht="14" x14ac:dyDescent="0.15">
      <c r="A7" s="21">
        <v>3</v>
      </c>
      <c r="B7" s="10">
        <v>5</v>
      </c>
      <c r="C7" s="11" t="s">
        <v>45</v>
      </c>
      <c r="D7" s="11" t="s">
        <v>18</v>
      </c>
      <c r="E7" s="12" t="s">
        <v>55</v>
      </c>
      <c r="F7" s="23">
        <v>13</v>
      </c>
      <c r="G7" s="23">
        <v>4</v>
      </c>
      <c r="H7" s="23">
        <v>0</v>
      </c>
      <c r="I7" s="23">
        <v>4</v>
      </c>
      <c r="J7" s="32">
        <f t="shared" si="0"/>
        <v>1</v>
      </c>
      <c r="K7" s="23"/>
      <c r="L7" s="23"/>
      <c r="M7" s="23"/>
      <c r="N7" s="23"/>
    </row>
    <row r="8" spans="1:14" s="13" customFormat="1" ht="14" x14ac:dyDescent="0.15">
      <c r="A8" s="21">
        <v>3</v>
      </c>
      <c r="B8" s="10">
        <v>20</v>
      </c>
      <c r="C8" s="11" t="s">
        <v>45</v>
      </c>
      <c r="D8" s="11" t="s">
        <v>18</v>
      </c>
      <c r="E8" s="12" t="s">
        <v>56</v>
      </c>
      <c r="F8" s="23">
        <v>14</v>
      </c>
      <c r="G8" s="23">
        <v>10</v>
      </c>
      <c r="H8" s="23">
        <v>0</v>
      </c>
      <c r="I8" s="23">
        <v>7</v>
      </c>
      <c r="J8" s="32">
        <f t="shared" si="0"/>
        <v>0.7</v>
      </c>
      <c r="K8" s="23"/>
      <c r="L8" s="23"/>
      <c r="M8" s="23"/>
      <c r="N8" s="23"/>
    </row>
    <row r="9" spans="1:14" s="13" customFormat="1" ht="14" x14ac:dyDescent="0.15">
      <c r="A9" s="21">
        <v>3</v>
      </c>
      <c r="B9" s="10">
        <v>26</v>
      </c>
      <c r="C9" s="11" t="s">
        <v>45</v>
      </c>
      <c r="D9" s="11" t="s">
        <v>23</v>
      </c>
      <c r="E9" s="12" t="s">
        <v>49</v>
      </c>
      <c r="F9" s="23">
        <v>9</v>
      </c>
      <c r="G9" s="23">
        <v>9</v>
      </c>
      <c r="H9" s="23">
        <v>0</v>
      </c>
      <c r="I9" s="23">
        <v>8</v>
      </c>
      <c r="J9" s="32">
        <f t="shared" si="0"/>
        <v>0.88888888888888884</v>
      </c>
      <c r="K9" s="23"/>
      <c r="L9" s="23"/>
      <c r="M9" s="23"/>
      <c r="N9" s="23"/>
    </row>
    <row r="10" spans="1:14" s="13" customFormat="1" ht="14" x14ac:dyDescent="0.15">
      <c r="A10" s="21">
        <v>3</v>
      </c>
      <c r="B10" s="10">
        <v>3</v>
      </c>
      <c r="C10" s="11" t="s">
        <v>15</v>
      </c>
      <c r="D10" s="11" t="s">
        <v>16</v>
      </c>
      <c r="E10" s="31" t="s">
        <v>55</v>
      </c>
      <c r="F10" s="23">
        <v>11</v>
      </c>
      <c r="G10" s="23">
        <v>10</v>
      </c>
      <c r="H10" s="23">
        <v>0</v>
      </c>
      <c r="I10" s="23">
        <v>9</v>
      </c>
      <c r="J10" s="32">
        <f t="shared" si="0"/>
        <v>0.9</v>
      </c>
      <c r="K10" s="23"/>
      <c r="L10" s="23"/>
      <c r="M10" s="23"/>
      <c r="N10" s="23"/>
    </row>
    <row r="11" spans="1:14" s="13" customFormat="1" ht="14" x14ac:dyDescent="0.15">
      <c r="A11" s="21">
        <v>3</v>
      </c>
      <c r="B11" s="10">
        <v>12</v>
      </c>
      <c r="C11" s="11" t="s">
        <v>22</v>
      </c>
      <c r="D11" s="11" t="s">
        <v>19</v>
      </c>
      <c r="E11" s="12" t="s">
        <v>54</v>
      </c>
      <c r="F11" s="23">
        <v>14</v>
      </c>
      <c r="G11" s="23">
        <v>10</v>
      </c>
      <c r="H11" s="23">
        <v>0</v>
      </c>
      <c r="I11" s="23">
        <v>8</v>
      </c>
      <c r="J11" s="32">
        <f t="shared" si="0"/>
        <v>0.8</v>
      </c>
      <c r="K11" s="23"/>
      <c r="L11" s="23"/>
      <c r="M11" s="23"/>
      <c r="N11" s="23"/>
    </row>
    <row r="12" spans="1:14" s="13" customFormat="1" ht="14" x14ac:dyDescent="0.15">
      <c r="A12" s="21">
        <v>3</v>
      </c>
      <c r="B12" s="10">
        <v>12</v>
      </c>
      <c r="C12" s="11" t="s">
        <v>22</v>
      </c>
      <c r="D12" s="11" t="s">
        <v>20</v>
      </c>
      <c r="E12" s="12" t="s">
        <v>54</v>
      </c>
      <c r="F12" s="23">
        <v>14</v>
      </c>
      <c r="G12" s="23">
        <v>10</v>
      </c>
      <c r="H12" s="23">
        <v>0</v>
      </c>
      <c r="I12" s="23">
        <v>8</v>
      </c>
      <c r="J12" s="32">
        <f t="shared" si="0"/>
        <v>0.8</v>
      </c>
      <c r="K12" s="23"/>
      <c r="L12" s="23"/>
      <c r="M12" s="23"/>
      <c r="N12" s="23"/>
    </row>
    <row r="13" spans="1:14" s="13" customFormat="1" ht="14" x14ac:dyDescent="0.15">
      <c r="A13" s="21">
        <v>3</v>
      </c>
      <c r="B13" s="10">
        <v>11</v>
      </c>
      <c r="C13" s="11" t="s">
        <v>22</v>
      </c>
      <c r="D13" s="11" t="s">
        <v>20</v>
      </c>
      <c r="E13" s="12" t="s">
        <v>55</v>
      </c>
      <c r="F13" s="23">
        <v>11</v>
      </c>
      <c r="G13" s="23">
        <v>8</v>
      </c>
      <c r="H13" s="23">
        <v>0</v>
      </c>
      <c r="I13" s="23">
        <v>7</v>
      </c>
      <c r="J13" s="32">
        <f t="shared" si="0"/>
        <v>0.875</v>
      </c>
      <c r="K13" s="23"/>
      <c r="L13" s="23"/>
      <c r="M13" s="23"/>
      <c r="N13" s="23"/>
    </row>
    <row r="14" spans="1:14" s="13" customFormat="1" ht="14" x14ac:dyDescent="0.15">
      <c r="A14" s="21">
        <v>3</v>
      </c>
      <c r="B14" s="10">
        <v>5</v>
      </c>
      <c r="C14" s="11" t="s">
        <v>22</v>
      </c>
      <c r="D14" s="11" t="s">
        <v>21</v>
      </c>
      <c r="E14" s="12" t="s">
        <v>54</v>
      </c>
      <c r="F14" s="23">
        <v>17</v>
      </c>
      <c r="G14" s="23">
        <v>10</v>
      </c>
      <c r="H14" s="23">
        <v>1</v>
      </c>
      <c r="I14" s="23">
        <v>9</v>
      </c>
      <c r="J14" s="32">
        <f t="shared" si="0"/>
        <v>0.8</v>
      </c>
      <c r="K14" s="23"/>
      <c r="L14" s="23"/>
      <c r="M14" s="23"/>
      <c r="N14" s="23"/>
    </row>
    <row r="15" spans="1:14" s="13" customFormat="1" ht="14" x14ac:dyDescent="0.15">
      <c r="A15" s="21">
        <v>3</v>
      </c>
      <c r="B15" s="10">
        <v>11</v>
      </c>
      <c r="C15" s="11" t="s">
        <v>22</v>
      </c>
      <c r="D15" s="11" t="s">
        <v>21</v>
      </c>
      <c r="E15" s="12" t="s">
        <v>55</v>
      </c>
      <c r="F15" s="23">
        <v>11</v>
      </c>
      <c r="G15" s="23">
        <v>8</v>
      </c>
      <c r="H15" s="23">
        <v>0</v>
      </c>
      <c r="I15" s="23">
        <v>8</v>
      </c>
      <c r="J15" s="32">
        <f t="shared" si="0"/>
        <v>1</v>
      </c>
      <c r="K15" s="23"/>
      <c r="L15" s="23"/>
      <c r="M15" s="23"/>
      <c r="N15" s="23"/>
    </row>
    <row r="16" spans="1:14" s="13" customFormat="1" ht="14" x14ac:dyDescent="0.15">
      <c r="A16" s="21">
        <v>3</v>
      </c>
      <c r="B16" s="10">
        <v>5</v>
      </c>
      <c r="C16" s="11" t="s">
        <v>22</v>
      </c>
      <c r="D16" s="11" t="s">
        <v>18</v>
      </c>
      <c r="E16" s="12" t="s">
        <v>54</v>
      </c>
      <c r="F16" s="23">
        <v>17</v>
      </c>
      <c r="G16" s="23">
        <v>10</v>
      </c>
      <c r="H16" s="23">
        <v>0</v>
      </c>
      <c r="I16" s="23">
        <v>8</v>
      </c>
      <c r="J16" s="32">
        <f t="shared" si="0"/>
        <v>0.8</v>
      </c>
      <c r="K16" s="23"/>
      <c r="L16" s="23"/>
      <c r="M16" s="23"/>
      <c r="N16" s="23"/>
    </row>
    <row r="17" spans="1:14" s="13" customFormat="1" ht="14" x14ac:dyDescent="0.15">
      <c r="A17" s="21">
        <v>3</v>
      </c>
      <c r="B17" s="10">
        <v>26</v>
      </c>
      <c r="C17" s="11" t="s">
        <v>34</v>
      </c>
      <c r="D17" s="11" t="s">
        <v>23</v>
      </c>
      <c r="E17" s="12" t="s">
        <v>54</v>
      </c>
      <c r="F17" s="23">
        <v>12</v>
      </c>
      <c r="G17" s="23">
        <v>12</v>
      </c>
      <c r="H17" s="23">
        <v>1</v>
      </c>
      <c r="I17" s="23">
        <v>11</v>
      </c>
      <c r="J17" s="32">
        <f t="shared" si="0"/>
        <v>0.83333333333333326</v>
      </c>
      <c r="K17" s="23"/>
      <c r="L17" s="23"/>
      <c r="M17" s="23"/>
      <c r="N17" s="23"/>
    </row>
    <row r="18" spans="1:14" s="13" customFormat="1" ht="14" x14ac:dyDescent="0.15">
      <c r="A18" s="21">
        <v>3</v>
      </c>
      <c r="B18" s="10">
        <v>6</v>
      </c>
      <c r="C18" s="11" t="s">
        <v>34</v>
      </c>
      <c r="D18" s="11" t="s">
        <v>20</v>
      </c>
      <c r="E18" s="31" t="s">
        <v>53</v>
      </c>
      <c r="F18" s="23">
        <v>6</v>
      </c>
      <c r="G18" s="23">
        <v>6</v>
      </c>
      <c r="H18" s="23">
        <v>0</v>
      </c>
      <c r="I18" s="23">
        <v>6</v>
      </c>
      <c r="J18" s="32">
        <f t="shared" si="0"/>
        <v>1</v>
      </c>
      <c r="K18" s="23"/>
      <c r="L18" s="23"/>
      <c r="M18" s="23"/>
      <c r="N18" s="23"/>
    </row>
    <row r="19" spans="1:14" s="13" customFormat="1" ht="14" x14ac:dyDescent="0.15">
      <c r="A19" s="21">
        <v>3</v>
      </c>
      <c r="B19" s="10">
        <v>6</v>
      </c>
      <c r="C19" s="11" t="s">
        <v>34</v>
      </c>
      <c r="D19" s="11" t="s">
        <v>21</v>
      </c>
      <c r="E19" s="31" t="s">
        <v>53</v>
      </c>
      <c r="F19" s="23">
        <v>5</v>
      </c>
      <c r="G19" s="23">
        <v>5</v>
      </c>
      <c r="H19" s="23">
        <v>0</v>
      </c>
      <c r="I19" s="23">
        <v>5</v>
      </c>
      <c r="J19" s="32">
        <f t="shared" si="0"/>
        <v>1</v>
      </c>
      <c r="K19" s="23"/>
      <c r="L19" s="23"/>
      <c r="M19" s="23"/>
      <c r="N19" s="23"/>
    </row>
    <row r="20" spans="1:14" s="13" customFormat="1" ht="14" x14ac:dyDescent="0.15">
      <c r="A20" s="21">
        <v>3</v>
      </c>
      <c r="B20" s="10">
        <v>19</v>
      </c>
      <c r="C20" s="11" t="s">
        <v>43</v>
      </c>
      <c r="D20" s="11" t="s">
        <v>19</v>
      </c>
      <c r="E20" s="12" t="s">
        <v>57</v>
      </c>
      <c r="F20" s="23">
        <v>15</v>
      </c>
      <c r="G20" s="23">
        <v>10</v>
      </c>
      <c r="H20" s="23">
        <v>0</v>
      </c>
      <c r="I20" s="23">
        <v>10</v>
      </c>
      <c r="J20" s="32">
        <f t="shared" si="0"/>
        <v>1</v>
      </c>
      <c r="K20" s="23"/>
      <c r="L20" s="23"/>
      <c r="M20" s="23"/>
      <c r="N20" s="23"/>
    </row>
    <row r="21" spans="1:14" s="13" customFormat="1" ht="14" x14ac:dyDescent="0.15">
      <c r="A21" s="21">
        <v>3</v>
      </c>
      <c r="B21" s="10">
        <v>24</v>
      </c>
      <c r="C21" s="11" t="s">
        <v>43</v>
      </c>
      <c r="D21" s="11" t="s">
        <v>20</v>
      </c>
      <c r="E21" s="12" t="s">
        <v>57</v>
      </c>
      <c r="F21" s="23">
        <v>14</v>
      </c>
      <c r="G21" s="23">
        <v>10</v>
      </c>
      <c r="H21" s="23">
        <v>0</v>
      </c>
      <c r="I21" s="23">
        <v>10</v>
      </c>
      <c r="J21" s="32">
        <f t="shared" si="0"/>
        <v>1</v>
      </c>
      <c r="K21" s="23"/>
      <c r="L21" s="23"/>
      <c r="M21" s="23"/>
      <c r="N21" s="23"/>
    </row>
    <row r="22" spans="1:14" s="13" customFormat="1" ht="14" x14ac:dyDescent="0.15">
      <c r="A22" s="21">
        <v>3</v>
      </c>
      <c r="B22" s="10">
        <v>17</v>
      </c>
      <c r="C22" s="11" t="s">
        <v>43</v>
      </c>
      <c r="D22" s="11" t="s">
        <v>16</v>
      </c>
      <c r="E22" s="12" t="s">
        <v>57</v>
      </c>
      <c r="F22" s="23">
        <v>13</v>
      </c>
      <c r="G22" s="23">
        <v>10</v>
      </c>
      <c r="H22" s="23">
        <v>0</v>
      </c>
      <c r="I22" s="23">
        <v>10</v>
      </c>
      <c r="J22" s="32">
        <f t="shared" si="0"/>
        <v>1</v>
      </c>
      <c r="K22" s="23"/>
      <c r="L22" s="23"/>
      <c r="M22" s="23"/>
      <c r="N22" s="23"/>
    </row>
    <row r="23" spans="1:14" s="13" customFormat="1" ht="14" x14ac:dyDescent="0.15">
      <c r="A23" s="21">
        <v>3</v>
      </c>
      <c r="B23" s="10">
        <v>24</v>
      </c>
      <c r="C23" s="11" t="s">
        <v>43</v>
      </c>
      <c r="D23" s="11" t="s">
        <v>21</v>
      </c>
      <c r="E23" s="31" t="s">
        <v>57</v>
      </c>
      <c r="F23" s="23">
        <v>14</v>
      </c>
      <c r="G23" s="23">
        <v>10</v>
      </c>
      <c r="H23" s="23">
        <v>0</v>
      </c>
      <c r="I23" s="23">
        <v>10</v>
      </c>
      <c r="J23" s="32">
        <f t="shared" si="0"/>
        <v>1</v>
      </c>
      <c r="K23" s="23"/>
      <c r="L23" s="23"/>
      <c r="M23" s="23"/>
      <c r="N23" s="23"/>
    </row>
    <row r="24" spans="1:14" s="13" customFormat="1" ht="14" x14ac:dyDescent="0.15">
      <c r="A24" s="21">
        <v>3</v>
      </c>
      <c r="B24" s="10">
        <v>19</v>
      </c>
      <c r="C24" s="11" t="s">
        <v>43</v>
      </c>
      <c r="D24" s="11" t="s">
        <v>18</v>
      </c>
      <c r="E24" s="12" t="s">
        <v>57</v>
      </c>
      <c r="F24" s="23">
        <v>15</v>
      </c>
      <c r="G24" s="23">
        <v>10</v>
      </c>
      <c r="H24" s="23">
        <v>0</v>
      </c>
      <c r="I24" s="23">
        <v>10</v>
      </c>
      <c r="J24" s="32">
        <f t="shared" si="0"/>
        <v>1</v>
      </c>
      <c r="K24" s="23"/>
      <c r="L24" s="23"/>
      <c r="M24" s="23"/>
      <c r="N24" s="23"/>
    </row>
  </sheetData>
  <sortState xmlns:xlrd2="http://schemas.microsoft.com/office/spreadsheetml/2017/richdata2" ref="A1:J24">
    <sortCondition ref="C1:C24"/>
  </sortState>
  <dataValidations count="1">
    <dataValidation type="list" allowBlank="1" showInputMessage="1" showErrorMessage="1" sqref="D1:D24" xr:uid="{C969F1A6-31CC-4C82-ADB8-5E69E17BDC21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078D-1269-431B-89F4-0DA28BD106D7}">
  <dimension ref="A1:N46"/>
  <sheetViews>
    <sheetView tabSelected="1" workbookViewId="0">
      <selection activeCell="E27" sqref="E27"/>
    </sheetView>
  </sheetViews>
  <sheetFormatPr baseColWidth="10" defaultColWidth="8.83203125" defaultRowHeight="15" x14ac:dyDescent="0.2"/>
  <cols>
    <col min="2" max="2" width="9.83203125" customWidth="1"/>
    <col min="3" max="3" width="26.1640625" customWidth="1"/>
    <col min="4" max="4" width="17.1640625" customWidth="1"/>
    <col min="5" max="5" width="29.83203125" customWidth="1"/>
  </cols>
  <sheetData>
    <row r="1" spans="1:14" s="13" customFormat="1" ht="14" x14ac:dyDescent="0.15">
      <c r="A1" s="21">
        <v>4</v>
      </c>
      <c r="B1" s="10">
        <v>16</v>
      </c>
      <c r="C1" s="11" t="s">
        <v>22</v>
      </c>
      <c r="D1" s="11" t="s">
        <v>19</v>
      </c>
      <c r="E1" s="12" t="s">
        <v>51</v>
      </c>
      <c r="F1" s="23">
        <v>8</v>
      </c>
      <c r="G1" s="23">
        <v>6</v>
      </c>
      <c r="H1" s="23">
        <v>0</v>
      </c>
      <c r="I1" s="23">
        <v>6</v>
      </c>
      <c r="J1" s="32">
        <f t="shared" ref="J1:J32" si="0">IFERROR(I1/G1-H1/G1,"")</f>
        <v>1</v>
      </c>
      <c r="K1" s="23"/>
      <c r="L1" s="23"/>
      <c r="M1" s="23"/>
      <c r="N1" s="23"/>
    </row>
    <row r="2" spans="1:14" s="13" customFormat="1" ht="14" x14ac:dyDescent="0.15">
      <c r="A2" s="21">
        <v>4</v>
      </c>
      <c r="B2" s="10">
        <v>22</v>
      </c>
      <c r="C2" s="11" t="s">
        <v>45</v>
      </c>
      <c r="D2" s="11" t="s">
        <v>24</v>
      </c>
      <c r="E2" s="12" t="s">
        <v>46</v>
      </c>
      <c r="F2" s="23">
        <v>8</v>
      </c>
      <c r="G2" s="23">
        <v>8</v>
      </c>
      <c r="H2" s="23">
        <v>0</v>
      </c>
      <c r="I2" s="23">
        <v>7</v>
      </c>
      <c r="J2" s="32">
        <f t="shared" si="0"/>
        <v>0.875</v>
      </c>
      <c r="K2" s="23"/>
      <c r="L2" s="23"/>
      <c r="M2" s="23"/>
      <c r="N2" s="23"/>
    </row>
    <row r="3" spans="1:14" s="13" customFormat="1" ht="14" x14ac:dyDescent="0.15">
      <c r="A3" s="21">
        <v>4</v>
      </c>
      <c r="B3" s="10">
        <v>24</v>
      </c>
      <c r="C3" s="11" t="s">
        <v>45</v>
      </c>
      <c r="D3" s="11" t="s">
        <v>24</v>
      </c>
      <c r="E3" s="31" t="s">
        <v>53</v>
      </c>
      <c r="F3" s="23">
        <v>4</v>
      </c>
      <c r="G3" s="23">
        <v>3</v>
      </c>
      <c r="H3" s="23">
        <v>0</v>
      </c>
      <c r="I3" s="23">
        <v>3</v>
      </c>
      <c r="J3" s="32">
        <f t="shared" si="0"/>
        <v>1</v>
      </c>
      <c r="K3" s="23"/>
      <c r="L3" s="23"/>
      <c r="M3" s="23"/>
      <c r="N3" s="23"/>
    </row>
    <row r="4" spans="1:14" s="13" customFormat="1" ht="14" x14ac:dyDescent="0.15">
      <c r="A4" s="21">
        <v>4</v>
      </c>
      <c r="B4" s="10">
        <v>7</v>
      </c>
      <c r="C4" s="11" t="s">
        <v>15</v>
      </c>
      <c r="D4" s="11" t="s">
        <v>24</v>
      </c>
      <c r="E4" s="31" t="s">
        <v>52</v>
      </c>
      <c r="F4" s="23">
        <v>5</v>
      </c>
      <c r="G4" s="23">
        <v>5</v>
      </c>
      <c r="H4" s="23">
        <v>0</v>
      </c>
      <c r="I4" s="23">
        <v>4</v>
      </c>
      <c r="J4" s="32">
        <f t="shared" si="0"/>
        <v>0.8</v>
      </c>
      <c r="K4" s="23"/>
      <c r="L4" s="23"/>
      <c r="M4" s="23"/>
      <c r="N4" s="23"/>
    </row>
    <row r="5" spans="1:14" s="13" customFormat="1" ht="14" x14ac:dyDescent="0.15">
      <c r="A5" s="21">
        <v>4</v>
      </c>
      <c r="B5" s="10">
        <v>8</v>
      </c>
      <c r="C5" s="11" t="s">
        <v>15</v>
      </c>
      <c r="D5" s="11" t="s">
        <v>24</v>
      </c>
      <c r="E5" s="31" t="s">
        <v>55</v>
      </c>
      <c r="F5" s="23">
        <v>6</v>
      </c>
      <c r="G5" s="23">
        <v>5</v>
      </c>
      <c r="H5" s="23">
        <v>0</v>
      </c>
      <c r="I5" s="23">
        <v>4</v>
      </c>
      <c r="J5" s="32">
        <f t="shared" si="0"/>
        <v>0.8</v>
      </c>
      <c r="K5" s="23"/>
      <c r="L5" s="23"/>
      <c r="M5" s="23"/>
      <c r="N5" s="23"/>
    </row>
    <row r="6" spans="1:14" s="13" customFormat="1" ht="14" x14ac:dyDescent="0.15">
      <c r="A6" s="21">
        <v>4</v>
      </c>
      <c r="B6" s="10">
        <v>23</v>
      </c>
      <c r="C6" s="11" t="s">
        <v>34</v>
      </c>
      <c r="D6" s="11" t="s">
        <v>24</v>
      </c>
      <c r="E6" s="31" t="s">
        <v>49</v>
      </c>
      <c r="F6" s="23">
        <v>9</v>
      </c>
      <c r="G6" s="23">
        <v>8</v>
      </c>
      <c r="H6" s="23">
        <v>0</v>
      </c>
      <c r="I6" s="23">
        <v>6</v>
      </c>
      <c r="J6" s="32">
        <f t="shared" si="0"/>
        <v>0.75</v>
      </c>
      <c r="K6" s="52"/>
      <c r="L6" s="52"/>
      <c r="M6" s="23"/>
      <c r="N6" s="23"/>
    </row>
    <row r="7" spans="1:14" s="13" customFormat="1" ht="14" x14ac:dyDescent="0.15">
      <c r="A7" s="21">
        <v>4</v>
      </c>
      <c r="B7" s="10">
        <v>29</v>
      </c>
      <c r="C7" s="28" t="s">
        <v>17</v>
      </c>
      <c r="D7" s="28" t="s">
        <v>20</v>
      </c>
      <c r="E7" s="12" t="s">
        <v>58</v>
      </c>
      <c r="F7" s="23">
        <v>7</v>
      </c>
      <c r="G7" s="23">
        <v>6</v>
      </c>
      <c r="H7" s="23">
        <v>0</v>
      </c>
      <c r="I7" s="23">
        <v>5</v>
      </c>
      <c r="J7" s="32">
        <f t="shared" si="0"/>
        <v>0.83333333333333337</v>
      </c>
      <c r="K7" s="52"/>
      <c r="L7" s="52"/>
      <c r="M7" s="23"/>
      <c r="N7" s="23"/>
    </row>
    <row r="8" spans="1:14" s="13" customFormat="1" ht="14" x14ac:dyDescent="0.15">
      <c r="A8" s="21">
        <v>4</v>
      </c>
      <c r="B8" s="10">
        <v>17</v>
      </c>
      <c r="C8" s="11" t="s">
        <v>22</v>
      </c>
      <c r="D8" s="11" t="s">
        <v>20</v>
      </c>
      <c r="E8" s="12" t="s">
        <v>51</v>
      </c>
      <c r="F8" s="23">
        <v>10</v>
      </c>
      <c r="G8" s="23">
        <v>6</v>
      </c>
      <c r="H8" s="23">
        <v>0</v>
      </c>
      <c r="I8" s="23">
        <v>3</v>
      </c>
      <c r="J8" s="33">
        <f t="shared" si="0"/>
        <v>0.5</v>
      </c>
      <c r="K8" s="52"/>
      <c r="L8" s="52"/>
      <c r="M8" s="23"/>
      <c r="N8" s="23"/>
    </row>
    <row r="9" spans="1:14" s="13" customFormat="1" ht="14" x14ac:dyDescent="0.15">
      <c r="A9" s="21">
        <v>4</v>
      </c>
      <c r="B9" s="10">
        <v>23</v>
      </c>
      <c r="C9" s="11" t="s">
        <v>22</v>
      </c>
      <c r="D9" s="11" t="s">
        <v>16</v>
      </c>
      <c r="E9" s="12" t="s">
        <v>58</v>
      </c>
      <c r="F9" s="23">
        <v>9</v>
      </c>
      <c r="G9" s="23">
        <v>8</v>
      </c>
      <c r="H9" s="23">
        <v>0</v>
      </c>
      <c r="I9" s="23">
        <v>7</v>
      </c>
      <c r="J9" s="32">
        <f t="shared" si="0"/>
        <v>0.875</v>
      </c>
      <c r="K9" s="52"/>
      <c r="L9" s="52"/>
      <c r="M9" s="23"/>
      <c r="N9" s="23"/>
    </row>
    <row r="10" spans="1:14" s="13" customFormat="1" ht="14" x14ac:dyDescent="0.15">
      <c r="A10" s="21">
        <v>4</v>
      </c>
      <c r="B10" s="10">
        <v>22</v>
      </c>
      <c r="C10" s="11" t="s">
        <v>22</v>
      </c>
      <c r="D10" s="11" t="s">
        <v>16</v>
      </c>
      <c r="E10" s="12" t="s">
        <v>59</v>
      </c>
      <c r="F10" s="23">
        <v>9</v>
      </c>
      <c r="G10" s="23">
        <v>10</v>
      </c>
      <c r="H10" s="23">
        <v>0</v>
      </c>
      <c r="I10" s="23">
        <v>9</v>
      </c>
      <c r="J10" s="32">
        <f t="shared" si="0"/>
        <v>0.9</v>
      </c>
      <c r="K10" s="52"/>
      <c r="L10" s="52"/>
      <c r="M10" s="23"/>
      <c r="N10" s="23"/>
    </row>
    <row r="11" spans="1:14" s="13" customFormat="1" ht="14" x14ac:dyDescent="0.15">
      <c r="A11" s="21">
        <v>4</v>
      </c>
      <c r="B11" s="10">
        <v>16</v>
      </c>
      <c r="C11" s="11" t="s">
        <v>17</v>
      </c>
      <c r="D11" s="11" t="s">
        <v>30</v>
      </c>
      <c r="E11" s="12" t="s">
        <v>50</v>
      </c>
      <c r="F11" s="23">
        <v>9</v>
      </c>
      <c r="G11" s="23">
        <v>6</v>
      </c>
      <c r="H11" s="23">
        <v>0</v>
      </c>
      <c r="I11" s="23">
        <v>5</v>
      </c>
      <c r="J11" s="32">
        <f t="shared" si="0"/>
        <v>0.83333333333333337</v>
      </c>
      <c r="K11" s="52"/>
      <c r="L11" s="52"/>
      <c r="M11" s="23"/>
      <c r="N11" s="23"/>
    </row>
    <row r="12" spans="1:14" s="13" customFormat="1" ht="14" x14ac:dyDescent="0.15">
      <c r="A12" s="21">
        <v>4</v>
      </c>
      <c r="B12" s="10">
        <v>24</v>
      </c>
      <c r="C12" s="11" t="s">
        <v>17</v>
      </c>
      <c r="D12" s="11" t="s">
        <v>30</v>
      </c>
      <c r="E12" s="12" t="s">
        <v>56</v>
      </c>
      <c r="F12" s="23">
        <v>2</v>
      </c>
      <c r="G12" s="23">
        <v>2</v>
      </c>
      <c r="H12" s="23">
        <v>0</v>
      </c>
      <c r="I12" s="23">
        <v>2</v>
      </c>
      <c r="J12" s="32">
        <f t="shared" si="0"/>
        <v>1</v>
      </c>
      <c r="K12" s="23"/>
      <c r="L12" s="23"/>
      <c r="M12" s="23"/>
      <c r="N12" s="23"/>
    </row>
    <row r="13" spans="1:14" s="13" customFormat="1" ht="14" x14ac:dyDescent="0.15">
      <c r="A13" s="21">
        <v>4</v>
      </c>
      <c r="B13" s="10">
        <v>1</v>
      </c>
      <c r="C13" s="11" t="s">
        <v>45</v>
      </c>
      <c r="D13" s="11" t="s">
        <v>30</v>
      </c>
      <c r="E13" s="12" t="s">
        <v>55</v>
      </c>
      <c r="F13" s="23">
        <v>10</v>
      </c>
      <c r="G13" s="23">
        <v>5</v>
      </c>
      <c r="H13" s="23">
        <v>0</v>
      </c>
      <c r="I13" s="23">
        <v>5</v>
      </c>
      <c r="J13" s="32">
        <f t="shared" si="0"/>
        <v>1</v>
      </c>
      <c r="K13" s="53"/>
      <c r="L13" s="52"/>
      <c r="M13" s="23"/>
      <c r="N13" s="23"/>
    </row>
    <row r="14" spans="1:14" s="13" customFormat="1" ht="14" x14ac:dyDescent="0.15">
      <c r="A14" s="21">
        <v>4</v>
      </c>
      <c r="B14" s="10">
        <v>22</v>
      </c>
      <c r="C14" s="11" t="s">
        <v>45</v>
      </c>
      <c r="D14" s="11" t="s">
        <v>30</v>
      </c>
      <c r="E14" s="31" t="s">
        <v>46</v>
      </c>
      <c r="F14" s="23">
        <v>8</v>
      </c>
      <c r="G14" s="23">
        <v>8</v>
      </c>
      <c r="H14" s="23">
        <v>0</v>
      </c>
      <c r="I14" s="23">
        <v>8</v>
      </c>
      <c r="J14" s="32">
        <f t="shared" si="0"/>
        <v>1</v>
      </c>
      <c r="K14" s="23"/>
      <c r="L14" s="23"/>
      <c r="M14" s="23"/>
      <c r="N14" s="23"/>
    </row>
    <row r="15" spans="1:14" s="13" customFormat="1" ht="14" x14ac:dyDescent="0.15">
      <c r="A15" s="21">
        <v>4</v>
      </c>
      <c r="B15" s="10">
        <v>2</v>
      </c>
      <c r="C15" s="11" t="s">
        <v>15</v>
      </c>
      <c r="D15" s="11" t="s">
        <v>30</v>
      </c>
      <c r="E15" s="31" t="s">
        <v>52</v>
      </c>
      <c r="F15" s="23">
        <v>12</v>
      </c>
      <c r="G15" s="23">
        <v>12</v>
      </c>
      <c r="H15" s="23">
        <v>0</v>
      </c>
      <c r="I15" s="23">
        <v>10</v>
      </c>
      <c r="J15" s="32">
        <f t="shared" si="0"/>
        <v>0.83333333333333337</v>
      </c>
      <c r="K15" s="23"/>
      <c r="L15" s="23"/>
      <c r="M15" s="23"/>
      <c r="N15" s="23"/>
    </row>
    <row r="16" spans="1:14" s="13" customFormat="1" ht="14" x14ac:dyDescent="0.15">
      <c r="A16" s="21">
        <v>4</v>
      </c>
      <c r="B16" s="10">
        <v>23</v>
      </c>
      <c r="C16" s="11" t="s">
        <v>34</v>
      </c>
      <c r="D16" s="11" t="s">
        <v>30</v>
      </c>
      <c r="E16" s="31" t="s">
        <v>60</v>
      </c>
      <c r="F16" s="23">
        <v>9</v>
      </c>
      <c r="G16" s="23">
        <v>8</v>
      </c>
      <c r="H16" s="23">
        <v>1</v>
      </c>
      <c r="I16" s="23">
        <v>6</v>
      </c>
      <c r="J16" s="32">
        <f t="shared" si="0"/>
        <v>0.625</v>
      </c>
      <c r="K16" s="23"/>
      <c r="L16" s="23"/>
      <c r="M16" s="23"/>
      <c r="N16" s="23"/>
    </row>
    <row r="17" spans="1:14" s="13" customFormat="1" ht="14" x14ac:dyDescent="0.15">
      <c r="A17" s="21">
        <v>4</v>
      </c>
      <c r="B17" s="10">
        <v>29</v>
      </c>
      <c r="C17" s="11" t="s">
        <v>17</v>
      </c>
      <c r="D17" s="11" t="s">
        <v>21</v>
      </c>
      <c r="E17" s="31" t="s">
        <v>58</v>
      </c>
      <c r="F17" s="23">
        <v>7</v>
      </c>
      <c r="G17" s="23">
        <v>6</v>
      </c>
      <c r="H17" s="23">
        <v>0</v>
      </c>
      <c r="I17" s="23">
        <v>6</v>
      </c>
      <c r="J17" s="32">
        <f t="shared" si="0"/>
        <v>1</v>
      </c>
      <c r="K17" s="23"/>
      <c r="L17" s="23"/>
      <c r="M17" s="23"/>
      <c r="N17" s="23"/>
    </row>
    <row r="18" spans="1:14" s="13" customFormat="1" ht="14" x14ac:dyDescent="0.15">
      <c r="A18" s="21">
        <v>4</v>
      </c>
      <c r="B18" s="10">
        <v>17</v>
      </c>
      <c r="C18" s="11" t="s">
        <v>22</v>
      </c>
      <c r="D18" s="11" t="s">
        <v>21</v>
      </c>
      <c r="E18" s="31" t="s">
        <v>51</v>
      </c>
      <c r="F18" s="23">
        <v>8</v>
      </c>
      <c r="G18" s="23">
        <v>6</v>
      </c>
      <c r="H18" s="23">
        <v>0</v>
      </c>
      <c r="I18" s="23">
        <v>6</v>
      </c>
      <c r="J18" s="32">
        <f t="shared" si="0"/>
        <v>1</v>
      </c>
      <c r="K18" s="23"/>
      <c r="L18" s="23"/>
      <c r="M18" s="23"/>
      <c r="N18" s="23"/>
    </row>
    <row r="19" spans="1:14" s="13" customFormat="1" ht="14" x14ac:dyDescent="0.15">
      <c r="A19" s="21">
        <v>4</v>
      </c>
      <c r="B19" s="10">
        <v>28</v>
      </c>
      <c r="C19" s="11" t="s">
        <v>22</v>
      </c>
      <c r="D19" s="11" t="s">
        <v>21</v>
      </c>
      <c r="E19" s="12" t="s">
        <v>59</v>
      </c>
      <c r="F19" s="23">
        <v>7</v>
      </c>
      <c r="G19" s="23">
        <v>7</v>
      </c>
      <c r="H19" s="23">
        <v>0</v>
      </c>
      <c r="I19" s="23">
        <v>6</v>
      </c>
      <c r="J19" s="32">
        <f t="shared" si="0"/>
        <v>0.8571428571428571</v>
      </c>
      <c r="K19" s="23"/>
      <c r="L19" s="23"/>
      <c r="M19" s="23"/>
      <c r="N19" s="23"/>
    </row>
    <row r="20" spans="1:14" s="13" customFormat="1" ht="14" x14ac:dyDescent="0.15">
      <c r="A20" s="21">
        <v>4</v>
      </c>
      <c r="B20" s="10">
        <v>16</v>
      </c>
      <c r="C20" s="11" t="s">
        <v>22</v>
      </c>
      <c r="D20" s="11" t="s">
        <v>18</v>
      </c>
      <c r="E20" s="12" t="s">
        <v>51</v>
      </c>
      <c r="F20" s="28">
        <v>9</v>
      </c>
      <c r="G20" s="28">
        <v>5</v>
      </c>
      <c r="H20" s="23">
        <v>0</v>
      </c>
      <c r="I20" s="28">
        <v>5</v>
      </c>
      <c r="J20" s="32">
        <f t="shared" si="0"/>
        <v>1</v>
      </c>
      <c r="K20" s="23"/>
      <c r="L20" s="23"/>
      <c r="M20" s="23"/>
      <c r="N20" s="23"/>
    </row>
    <row r="21" spans="1:14" s="13" customFormat="1" ht="14" x14ac:dyDescent="0.15">
      <c r="A21" s="21">
        <v>4</v>
      </c>
      <c r="B21" s="10">
        <v>28</v>
      </c>
      <c r="C21" s="11" t="s">
        <v>22</v>
      </c>
      <c r="D21" s="11" t="s">
        <v>18</v>
      </c>
      <c r="E21" s="12" t="s">
        <v>59</v>
      </c>
      <c r="F21" s="23">
        <v>7</v>
      </c>
      <c r="G21" s="28">
        <v>7</v>
      </c>
      <c r="H21" s="23">
        <v>0</v>
      </c>
      <c r="I21" s="28">
        <v>6</v>
      </c>
      <c r="J21" s="32">
        <f t="shared" si="0"/>
        <v>0.8571428571428571</v>
      </c>
      <c r="K21" s="23"/>
      <c r="L21" s="23"/>
      <c r="M21" s="23"/>
      <c r="N21" s="23"/>
    </row>
    <row r="22" spans="1:14" s="13" customFormat="1" ht="14" x14ac:dyDescent="0.15">
      <c r="A22" s="21">
        <v>4</v>
      </c>
      <c r="B22" s="10">
        <v>16</v>
      </c>
      <c r="C22" s="11" t="s">
        <v>17</v>
      </c>
      <c r="D22" s="11" t="s">
        <v>25</v>
      </c>
      <c r="E22" s="12" t="s">
        <v>50</v>
      </c>
      <c r="F22" s="23">
        <v>9</v>
      </c>
      <c r="G22" s="23">
        <v>8</v>
      </c>
      <c r="H22" s="23">
        <v>0</v>
      </c>
      <c r="I22" s="23">
        <v>7</v>
      </c>
      <c r="J22" s="32">
        <f t="shared" si="0"/>
        <v>0.875</v>
      </c>
      <c r="K22" s="23"/>
      <c r="L22" s="23"/>
      <c r="M22" s="23"/>
      <c r="N22" s="23"/>
    </row>
    <row r="23" spans="1:14" s="13" customFormat="1" ht="14" x14ac:dyDescent="0.15">
      <c r="A23" s="21">
        <v>4</v>
      </c>
      <c r="B23" s="10">
        <v>24</v>
      </c>
      <c r="C23" s="11" t="s">
        <v>17</v>
      </c>
      <c r="D23" s="11" t="s">
        <v>25</v>
      </c>
      <c r="E23" s="31" t="s">
        <v>56</v>
      </c>
      <c r="F23" s="23">
        <v>8</v>
      </c>
      <c r="G23" s="23">
        <v>6</v>
      </c>
      <c r="H23" s="23">
        <v>0</v>
      </c>
      <c r="I23" s="23">
        <v>5</v>
      </c>
      <c r="J23" s="32">
        <f t="shared" si="0"/>
        <v>0.83333333333333337</v>
      </c>
      <c r="K23" s="23"/>
      <c r="L23" s="23"/>
      <c r="M23" s="23"/>
      <c r="N23" s="23"/>
    </row>
    <row r="24" spans="1:14" s="13" customFormat="1" ht="14" x14ac:dyDescent="0.15">
      <c r="A24" s="21">
        <v>4</v>
      </c>
      <c r="B24" s="10">
        <v>24</v>
      </c>
      <c r="C24" s="11" t="s">
        <v>45</v>
      </c>
      <c r="D24" s="11" t="s">
        <v>25</v>
      </c>
      <c r="E24" s="31" t="s">
        <v>53</v>
      </c>
      <c r="F24" s="23">
        <v>4</v>
      </c>
      <c r="G24" s="23">
        <v>4</v>
      </c>
      <c r="H24" s="23">
        <v>0</v>
      </c>
      <c r="I24" s="23">
        <v>4</v>
      </c>
      <c r="J24" s="32">
        <f t="shared" si="0"/>
        <v>1</v>
      </c>
      <c r="K24" s="23"/>
      <c r="L24" s="23"/>
      <c r="M24" s="23"/>
      <c r="N24" s="23"/>
    </row>
    <row r="25" spans="1:14" s="13" customFormat="1" ht="14" x14ac:dyDescent="0.15">
      <c r="A25" s="21">
        <v>4</v>
      </c>
      <c r="B25" s="10">
        <v>8</v>
      </c>
      <c r="C25" s="14" t="s">
        <v>15</v>
      </c>
      <c r="D25" s="11" t="s">
        <v>25</v>
      </c>
      <c r="E25" s="31" t="s">
        <v>55</v>
      </c>
      <c r="F25" s="23">
        <v>5</v>
      </c>
      <c r="G25" s="23">
        <v>4</v>
      </c>
      <c r="H25" s="23">
        <v>0</v>
      </c>
      <c r="I25" s="23">
        <v>4</v>
      </c>
      <c r="J25" s="32">
        <f t="shared" si="0"/>
        <v>1</v>
      </c>
      <c r="K25" s="23"/>
      <c r="L25" s="23"/>
      <c r="M25" s="23"/>
      <c r="N25" s="23"/>
    </row>
    <row r="26" spans="1:14" s="13" customFormat="1" ht="14" x14ac:dyDescent="0.15">
      <c r="A26" s="21">
        <v>4</v>
      </c>
      <c r="B26" s="10">
        <v>17</v>
      </c>
      <c r="C26" s="14" t="s">
        <v>17</v>
      </c>
      <c r="D26" s="11" t="s">
        <v>23</v>
      </c>
      <c r="E26" s="31" t="s">
        <v>56</v>
      </c>
      <c r="F26" s="23">
        <v>10</v>
      </c>
      <c r="G26" s="23">
        <v>10</v>
      </c>
      <c r="H26" s="23">
        <v>1</v>
      </c>
      <c r="I26" s="23">
        <v>9</v>
      </c>
      <c r="J26" s="32">
        <f t="shared" si="0"/>
        <v>0.8</v>
      </c>
      <c r="K26" s="23"/>
      <c r="L26" s="23"/>
      <c r="M26" s="23"/>
      <c r="N26" s="23"/>
    </row>
    <row r="27" spans="1:14" s="13" customFormat="1" ht="14" x14ac:dyDescent="0.15">
      <c r="A27" s="21">
        <v>4</v>
      </c>
      <c r="B27" s="10">
        <v>1</v>
      </c>
      <c r="C27" s="11" t="s">
        <v>45</v>
      </c>
      <c r="D27" s="11" t="s">
        <v>23</v>
      </c>
      <c r="E27" s="12" t="s">
        <v>55</v>
      </c>
      <c r="F27" s="23">
        <v>10</v>
      </c>
      <c r="G27" s="23">
        <v>3</v>
      </c>
      <c r="H27" s="23">
        <v>0</v>
      </c>
      <c r="I27" s="23">
        <v>3</v>
      </c>
      <c r="J27" s="32">
        <f t="shared" si="0"/>
        <v>1</v>
      </c>
      <c r="K27" s="23"/>
      <c r="L27" s="23"/>
      <c r="M27" s="23"/>
      <c r="N27" s="23"/>
    </row>
    <row r="28" spans="1:14" s="13" customFormat="1" ht="14" x14ac:dyDescent="0.15">
      <c r="A28" s="21">
        <v>4</v>
      </c>
      <c r="B28" s="10">
        <v>21</v>
      </c>
      <c r="C28" s="11" t="s">
        <v>45</v>
      </c>
      <c r="D28" s="11" t="s">
        <v>23</v>
      </c>
      <c r="E28" s="12" t="s">
        <v>53</v>
      </c>
      <c r="F28" s="23">
        <v>4</v>
      </c>
      <c r="G28" s="23">
        <v>4</v>
      </c>
      <c r="H28" s="23">
        <v>0</v>
      </c>
      <c r="I28" s="23">
        <v>4</v>
      </c>
      <c r="J28" s="32">
        <f t="shared" si="0"/>
        <v>1</v>
      </c>
      <c r="K28" s="54"/>
      <c r="L28" s="55"/>
      <c r="M28" s="23"/>
      <c r="N28" s="23"/>
    </row>
    <row r="29" spans="1:14" s="13" customFormat="1" ht="14" x14ac:dyDescent="0.15">
      <c r="A29" s="21">
        <v>4</v>
      </c>
      <c r="B29" s="10">
        <v>6</v>
      </c>
      <c r="C29" s="11" t="s">
        <v>15</v>
      </c>
      <c r="D29" s="11" t="s">
        <v>23</v>
      </c>
      <c r="E29" s="12" t="s">
        <v>52</v>
      </c>
      <c r="F29" s="23">
        <v>9</v>
      </c>
      <c r="G29" s="23">
        <v>9</v>
      </c>
      <c r="H29" s="23">
        <v>0</v>
      </c>
      <c r="I29" s="23">
        <v>7</v>
      </c>
      <c r="J29" s="32">
        <f t="shared" si="0"/>
        <v>0.77777777777777779</v>
      </c>
      <c r="K29" s="23"/>
      <c r="L29" s="23"/>
      <c r="M29" s="23"/>
      <c r="N29" s="23"/>
    </row>
    <row r="30" spans="1:14" s="13" customFormat="1" ht="14" x14ac:dyDescent="0.15">
      <c r="A30" s="21">
        <v>4</v>
      </c>
      <c r="B30" s="10">
        <v>3</v>
      </c>
      <c r="C30" s="11" t="s">
        <v>34</v>
      </c>
      <c r="D30" s="11" t="s">
        <v>23</v>
      </c>
      <c r="E30" s="12" t="s">
        <v>47</v>
      </c>
      <c r="F30" s="23">
        <v>12</v>
      </c>
      <c r="G30" s="23">
        <v>10</v>
      </c>
      <c r="H30" s="23">
        <v>2</v>
      </c>
      <c r="I30" s="23">
        <v>6</v>
      </c>
      <c r="J30" s="33">
        <f t="shared" si="0"/>
        <v>0.39999999999999997</v>
      </c>
      <c r="K30" s="23"/>
      <c r="L30" s="23"/>
      <c r="M30" s="23"/>
      <c r="N30" s="23"/>
    </row>
    <row r="31" spans="1:14" s="13" customFormat="1" ht="14" x14ac:dyDescent="0.15">
      <c r="A31" s="21">
        <v>4</v>
      </c>
      <c r="B31" s="10">
        <v>14</v>
      </c>
      <c r="C31" s="11" t="s">
        <v>34</v>
      </c>
      <c r="D31" s="11" t="s">
        <v>23</v>
      </c>
      <c r="E31" s="12" t="s">
        <v>50</v>
      </c>
      <c r="F31" s="23">
        <v>8</v>
      </c>
      <c r="G31" s="23">
        <v>8</v>
      </c>
      <c r="H31" s="23">
        <v>0</v>
      </c>
      <c r="I31" s="23">
        <v>6</v>
      </c>
      <c r="J31" s="32">
        <f t="shared" si="0"/>
        <v>0.75</v>
      </c>
      <c r="K31" s="23"/>
      <c r="L31" s="23"/>
      <c r="M31" s="23"/>
      <c r="N31" s="23"/>
    </row>
    <row r="32" spans="1:14" s="13" customFormat="1" ht="14" x14ac:dyDescent="0.15">
      <c r="A32" s="21">
        <v>4</v>
      </c>
      <c r="B32" s="10">
        <v>17</v>
      </c>
      <c r="C32" s="11" t="s">
        <v>34</v>
      </c>
      <c r="D32" s="11" t="s">
        <v>23</v>
      </c>
      <c r="E32" s="12" t="s">
        <v>46</v>
      </c>
      <c r="F32" s="23">
        <v>11</v>
      </c>
      <c r="G32" s="23">
        <v>11</v>
      </c>
      <c r="H32" s="23">
        <v>0</v>
      </c>
      <c r="I32" s="23">
        <v>11</v>
      </c>
      <c r="J32" s="32">
        <f t="shared" si="0"/>
        <v>1</v>
      </c>
      <c r="K32" s="23"/>
      <c r="L32" s="23"/>
      <c r="M32" s="23"/>
      <c r="N32" s="23"/>
    </row>
    <row r="33" spans="1:9" x14ac:dyDescent="0.2">
      <c r="A33" s="35"/>
      <c r="B33" s="36"/>
      <c r="C33" s="36"/>
      <c r="D33" s="43"/>
      <c r="E33" s="38"/>
      <c r="F33" s="38"/>
      <c r="G33" s="38"/>
      <c r="H33" s="38"/>
      <c r="I33" s="46"/>
    </row>
    <row r="34" spans="1:9" x14ac:dyDescent="0.2">
      <c r="A34" s="35"/>
      <c r="B34" s="36"/>
      <c r="C34" s="36"/>
      <c r="D34" s="43"/>
      <c r="E34" s="38"/>
      <c r="F34" s="38"/>
      <c r="G34" s="38"/>
      <c r="H34" s="38"/>
      <c r="I34" s="39"/>
    </row>
    <row r="35" spans="1:9" x14ac:dyDescent="0.2">
      <c r="A35" s="35"/>
      <c r="B35" s="36"/>
      <c r="C35" s="36"/>
      <c r="D35" s="43"/>
      <c r="E35" s="38"/>
      <c r="F35" s="38"/>
      <c r="G35" s="38"/>
      <c r="H35" s="38"/>
      <c r="I35" s="39"/>
    </row>
    <row r="36" spans="1:9" x14ac:dyDescent="0.2">
      <c r="A36" s="35"/>
      <c r="B36" s="36"/>
      <c r="C36" s="36"/>
      <c r="D36" s="43"/>
      <c r="E36" s="38"/>
      <c r="F36" s="38"/>
      <c r="G36" s="38"/>
      <c r="H36" s="38"/>
      <c r="I36" s="44"/>
    </row>
    <row r="37" spans="1:9" x14ac:dyDescent="0.2">
      <c r="A37" s="35"/>
      <c r="B37" s="40"/>
      <c r="C37" s="40"/>
      <c r="D37" s="45"/>
      <c r="E37" s="42"/>
      <c r="F37" s="42"/>
      <c r="G37" s="42"/>
      <c r="H37" s="42"/>
      <c r="I37" s="39"/>
    </row>
    <row r="38" spans="1:9" x14ac:dyDescent="0.2">
      <c r="A38" s="35"/>
      <c r="B38" s="36"/>
      <c r="C38" s="36"/>
      <c r="D38" s="43"/>
      <c r="E38" s="38"/>
      <c r="F38" s="38"/>
      <c r="G38" s="38"/>
      <c r="H38" s="38"/>
      <c r="I38" s="39"/>
    </row>
    <row r="39" spans="1:9" x14ac:dyDescent="0.2">
      <c r="A39" s="35"/>
      <c r="B39" s="40"/>
      <c r="C39" s="40"/>
      <c r="D39" s="45"/>
      <c r="E39" s="42"/>
      <c r="F39" s="42"/>
      <c r="G39" s="42"/>
      <c r="H39" s="42"/>
      <c r="I39" s="44"/>
    </row>
    <row r="40" spans="1:9" x14ac:dyDescent="0.2">
      <c r="A40" s="35"/>
      <c r="B40" s="40"/>
      <c r="C40" s="40"/>
      <c r="D40" s="45"/>
      <c r="E40" s="49"/>
      <c r="F40" s="49"/>
      <c r="G40" s="42"/>
      <c r="H40" s="49"/>
      <c r="I40" s="47"/>
    </row>
    <row r="41" spans="1:9" x14ac:dyDescent="0.2">
      <c r="A41" s="35"/>
      <c r="B41" s="36"/>
      <c r="C41" s="36"/>
      <c r="D41" s="43"/>
      <c r="E41" s="35"/>
      <c r="F41" s="35"/>
      <c r="G41" s="38"/>
      <c r="H41" s="35"/>
      <c r="I41" s="47"/>
    </row>
    <row r="42" spans="1:9" x14ac:dyDescent="0.2">
      <c r="A42" s="35"/>
      <c r="B42" s="40"/>
      <c r="C42" s="40"/>
      <c r="D42" s="45"/>
      <c r="E42" s="42"/>
      <c r="F42" s="42"/>
      <c r="G42" s="42"/>
      <c r="H42" s="42"/>
      <c r="I42" s="39"/>
    </row>
    <row r="43" spans="1:9" x14ac:dyDescent="0.2">
      <c r="A43" s="35"/>
      <c r="B43" s="40"/>
      <c r="C43" s="40"/>
      <c r="D43" s="45"/>
      <c r="E43" s="42"/>
      <c r="F43" s="42"/>
      <c r="G43" s="42"/>
      <c r="H43" s="42"/>
      <c r="I43" s="44"/>
    </row>
    <row r="44" spans="1:9" x14ac:dyDescent="0.2">
      <c r="A44" s="35"/>
      <c r="B44" s="50"/>
      <c r="C44" s="36"/>
      <c r="D44" s="43"/>
      <c r="E44" s="38"/>
      <c r="F44" s="38"/>
      <c r="G44" s="38"/>
      <c r="H44" s="38"/>
      <c r="I44" s="39"/>
    </row>
    <row r="45" spans="1:9" x14ac:dyDescent="0.2">
      <c r="A45" s="35"/>
      <c r="B45" s="51"/>
      <c r="C45" s="40"/>
      <c r="D45" s="45"/>
      <c r="E45" s="42"/>
      <c r="F45" s="42"/>
      <c r="G45" s="42"/>
      <c r="H45" s="42"/>
      <c r="I45" s="39"/>
    </row>
    <row r="46" spans="1:9" x14ac:dyDescent="0.2">
      <c r="A46" s="35"/>
      <c r="B46" s="36"/>
      <c r="C46" s="36"/>
      <c r="D46" s="43"/>
      <c r="E46" s="38"/>
      <c r="F46" s="38"/>
      <c r="G46" s="38"/>
      <c r="H46" s="38"/>
      <c r="I46" s="39"/>
    </row>
  </sheetData>
  <sortState xmlns:xlrd2="http://schemas.microsoft.com/office/spreadsheetml/2017/richdata2" ref="A1:J46">
    <sortCondition ref="D1:D46"/>
  </sortState>
  <dataValidations count="1">
    <dataValidation type="list" allowBlank="1" showInputMessage="1" showErrorMessage="1" sqref="C33:C46 D1:D32" xr:uid="{5A41D9BB-65BD-4DD8-9D3E-CE48E27CD44C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CA9A-093F-4743-984E-A0283ABDF629}">
  <dimension ref="A1:O28"/>
  <sheetViews>
    <sheetView workbookViewId="0">
      <selection sqref="A1:XFD1048576"/>
    </sheetView>
  </sheetViews>
  <sheetFormatPr baseColWidth="10" defaultColWidth="8.6640625" defaultRowHeight="15" x14ac:dyDescent="0.2"/>
  <cols>
    <col min="1" max="3" width="8.6640625" style="71"/>
    <col min="4" max="4" width="30.1640625" style="71" customWidth="1"/>
    <col min="5" max="5" width="30.5" style="71" customWidth="1"/>
    <col min="6" max="6" width="47.83203125" style="71" customWidth="1"/>
    <col min="7" max="16384" width="8.6640625" style="71"/>
  </cols>
  <sheetData>
    <row r="1" spans="1:15" s="64" customFormat="1" ht="14" x14ac:dyDescent="0.15">
      <c r="A1" s="56"/>
      <c r="B1" s="57"/>
      <c r="C1" s="58"/>
      <c r="D1" s="58"/>
      <c r="E1" s="58"/>
      <c r="F1" s="43"/>
      <c r="G1" s="38"/>
      <c r="H1" s="38"/>
      <c r="I1" s="38"/>
      <c r="J1" s="59"/>
      <c r="K1" s="60"/>
      <c r="L1" s="61"/>
      <c r="M1" s="62"/>
      <c r="N1" s="63"/>
      <c r="O1" s="63"/>
    </row>
    <row r="2" spans="1:15" s="64" customFormat="1" ht="14" x14ac:dyDescent="0.15">
      <c r="A2" s="56"/>
      <c r="B2" s="57"/>
      <c r="C2" s="58"/>
      <c r="D2" s="65"/>
      <c r="E2" s="65"/>
      <c r="F2" s="43"/>
      <c r="G2" s="38"/>
      <c r="H2" s="38"/>
      <c r="I2" s="38"/>
      <c r="J2" s="59"/>
      <c r="K2" s="60"/>
      <c r="L2" s="63"/>
      <c r="M2" s="63"/>
      <c r="N2" s="63"/>
      <c r="O2" s="63"/>
    </row>
    <row r="3" spans="1:15" s="64" customFormat="1" ht="14" x14ac:dyDescent="0.15">
      <c r="A3" s="56"/>
      <c r="B3" s="57"/>
      <c r="C3" s="58"/>
      <c r="D3" s="65"/>
      <c r="E3" s="65"/>
      <c r="F3" s="43"/>
      <c r="G3" s="38"/>
      <c r="H3" s="38"/>
      <c r="I3" s="38"/>
      <c r="J3" s="59"/>
      <c r="K3" s="60"/>
      <c r="L3" s="63"/>
      <c r="M3" s="63"/>
      <c r="N3" s="63"/>
      <c r="O3" s="63"/>
    </row>
    <row r="4" spans="1:15" s="64" customFormat="1" ht="14" x14ac:dyDescent="0.15">
      <c r="A4" s="56"/>
      <c r="B4" s="57"/>
      <c r="C4" s="58"/>
      <c r="D4" s="65"/>
      <c r="E4" s="65"/>
      <c r="F4" s="43"/>
      <c r="G4" s="38"/>
      <c r="H4" s="38"/>
      <c r="I4" s="38"/>
      <c r="J4" s="59"/>
      <c r="K4" s="60"/>
      <c r="L4" s="63"/>
      <c r="M4" s="63"/>
      <c r="N4" s="63"/>
      <c r="O4" s="63"/>
    </row>
    <row r="5" spans="1:15" s="64" customFormat="1" ht="14" x14ac:dyDescent="0.15">
      <c r="A5" s="56"/>
      <c r="B5" s="57"/>
      <c r="C5" s="58"/>
      <c r="D5" s="65"/>
      <c r="E5" s="65"/>
      <c r="F5" s="43"/>
      <c r="G5" s="38"/>
      <c r="H5" s="38"/>
      <c r="I5" s="38"/>
      <c r="J5" s="59"/>
      <c r="K5" s="60"/>
      <c r="L5" s="63"/>
      <c r="M5" s="63"/>
      <c r="N5" s="63"/>
      <c r="O5" s="63"/>
    </row>
    <row r="6" spans="1:15" s="64" customFormat="1" ht="14" x14ac:dyDescent="0.15">
      <c r="A6" s="56"/>
      <c r="B6" s="57"/>
      <c r="C6" s="58"/>
      <c r="D6" s="65"/>
      <c r="E6" s="65"/>
      <c r="F6" s="43"/>
      <c r="G6" s="38"/>
      <c r="H6" s="38"/>
      <c r="I6" s="38"/>
      <c r="J6" s="59"/>
      <c r="K6" s="60"/>
      <c r="L6" s="63"/>
      <c r="M6" s="63"/>
      <c r="N6" s="63"/>
      <c r="O6" s="63"/>
    </row>
    <row r="7" spans="1:15" s="64" customFormat="1" ht="14" x14ac:dyDescent="0.15">
      <c r="A7" s="56"/>
      <c r="B7" s="57"/>
      <c r="C7" s="58"/>
      <c r="D7" s="65"/>
      <c r="E7" s="65"/>
      <c r="F7" s="43"/>
      <c r="G7" s="38"/>
      <c r="H7" s="38"/>
      <c r="I7" s="38"/>
      <c r="J7" s="59"/>
      <c r="K7" s="60"/>
      <c r="L7" s="63"/>
      <c r="M7" s="63"/>
      <c r="N7" s="63"/>
      <c r="O7" s="63"/>
    </row>
    <row r="8" spans="1:15" s="64" customFormat="1" ht="14" x14ac:dyDescent="0.15">
      <c r="A8" s="56"/>
      <c r="B8" s="57"/>
      <c r="C8" s="58"/>
      <c r="D8" s="65"/>
      <c r="E8" s="65"/>
      <c r="F8" s="43"/>
      <c r="G8" s="38"/>
      <c r="H8" s="38"/>
      <c r="I8" s="38"/>
      <c r="J8" s="59"/>
      <c r="K8" s="60"/>
      <c r="L8" s="63"/>
      <c r="M8" s="63"/>
      <c r="N8" s="63"/>
      <c r="O8" s="63"/>
    </row>
    <row r="9" spans="1:15" s="64" customFormat="1" ht="14" x14ac:dyDescent="0.15">
      <c r="A9" s="56"/>
      <c r="B9" s="57"/>
      <c r="C9" s="58"/>
      <c r="D9" s="65"/>
      <c r="E9" s="65"/>
      <c r="F9" s="43"/>
      <c r="G9" s="38"/>
      <c r="H9" s="38"/>
      <c r="I9" s="38"/>
      <c r="J9" s="59"/>
      <c r="K9" s="66"/>
      <c r="L9" s="63"/>
      <c r="M9" s="63"/>
      <c r="N9" s="63"/>
      <c r="O9" s="63"/>
    </row>
    <row r="10" spans="1:15" s="64" customFormat="1" ht="14" x14ac:dyDescent="0.15">
      <c r="A10" s="56"/>
      <c r="B10" s="57"/>
      <c r="C10" s="58"/>
      <c r="D10" s="65"/>
      <c r="E10" s="65"/>
      <c r="F10" s="43"/>
      <c r="G10" s="38"/>
      <c r="H10" s="38"/>
      <c r="I10" s="38"/>
      <c r="J10" s="59"/>
      <c r="K10" s="60"/>
      <c r="L10" s="63"/>
      <c r="M10" s="63"/>
      <c r="N10" s="63"/>
      <c r="O10" s="63"/>
    </row>
    <row r="11" spans="1:15" s="64" customFormat="1" ht="14" x14ac:dyDescent="0.15">
      <c r="A11" s="56"/>
      <c r="B11" s="57"/>
      <c r="C11" s="58"/>
      <c r="D11" s="65"/>
      <c r="E11" s="65"/>
      <c r="F11" s="43"/>
      <c r="G11" s="38"/>
      <c r="H11" s="38"/>
      <c r="I11" s="38"/>
      <c r="J11" s="59"/>
      <c r="K11" s="67"/>
      <c r="L11" s="63"/>
      <c r="M11" s="63"/>
      <c r="N11" s="63"/>
      <c r="O11" s="63"/>
    </row>
    <row r="12" spans="1:15" s="64" customFormat="1" ht="14" x14ac:dyDescent="0.15">
      <c r="A12" s="56"/>
      <c r="B12" s="57"/>
      <c r="C12" s="58"/>
      <c r="D12" s="65"/>
      <c r="E12" s="65"/>
      <c r="F12" s="43"/>
      <c r="G12" s="38"/>
      <c r="H12" s="38"/>
      <c r="I12" s="38"/>
      <c r="J12" s="59"/>
      <c r="K12" s="60"/>
      <c r="L12" s="63"/>
      <c r="M12" s="63"/>
      <c r="N12" s="63"/>
      <c r="O12" s="63"/>
    </row>
    <row r="13" spans="1:15" s="64" customFormat="1" ht="14" x14ac:dyDescent="0.15">
      <c r="A13" s="56"/>
      <c r="B13" s="57"/>
      <c r="C13" s="58"/>
      <c r="D13" s="65"/>
      <c r="E13" s="65"/>
      <c r="F13" s="43"/>
      <c r="G13" s="38"/>
      <c r="H13" s="38"/>
      <c r="I13" s="38"/>
      <c r="J13" s="59"/>
      <c r="K13" s="60"/>
      <c r="L13" s="63"/>
      <c r="M13" s="63"/>
      <c r="N13" s="63"/>
      <c r="O13" s="63"/>
    </row>
    <row r="14" spans="1:15" s="64" customFormat="1" ht="14" x14ac:dyDescent="0.15">
      <c r="A14" s="56"/>
      <c r="B14" s="57"/>
      <c r="C14" s="58"/>
      <c r="D14" s="65"/>
      <c r="E14" s="65"/>
      <c r="F14" s="43"/>
      <c r="G14" s="38"/>
      <c r="H14" s="38"/>
      <c r="I14" s="38"/>
      <c r="J14" s="59"/>
      <c r="K14" s="60"/>
      <c r="L14" s="63"/>
      <c r="M14" s="63"/>
      <c r="N14" s="63"/>
      <c r="O14" s="63"/>
    </row>
    <row r="15" spans="1:15" s="64" customFormat="1" ht="14" x14ac:dyDescent="0.15">
      <c r="A15" s="56"/>
      <c r="B15" s="57"/>
      <c r="C15" s="58"/>
      <c r="D15" s="65"/>
      <c r="E15" s="65"/>
      <c r="F15" s="43"/>
      <c r="G15" s="38"/>
      <c r="H15" s="38"/>
      <c r="I15" s="38"/>
      <c r="J15" s="59"/>
      <c r="K15" s="60"/>
      <c r="L15" s="63"/>
      <c r="M15" s="63"/>
      <c r="N15" s="63"/>
      <c r="O15" s="63"/>
    </row>
    <row r="16" spans="1:15" s="64" customFormat="1" ht="14" x14ac:dyDescent="0.15">
      <c r="A16" s="56"/>
      <c r="B16" s="57"/>
      <c r="C16" s="58"/>
      <c r="D16" s="65"/>
      <c r="E16" s="65"/>
      <c r="F16" s="43"/>
      <c r="G16" s="58"/>
      <c r="H16" s="58"/>
      <c r="I16" s="58"/>
      <c r="J16" s="68"/>
      <c r="K16" s="60"/>
      <c r="L16" s="63"/>
      <c r="M16" s="63"/>
      <c r="N16" s="63"/>
      <c r="O16" s="63"/>
    </row>
    <row r="17" spans="1:15" s="64" customFormat="1" ht="14" x14ac:dyDescent="0.15">
      <c r="A17" s="56"/>
      <c r="B17" s="57"/>
      <c r="C17" s="58"/>
      <c r="D17" s="65"/>
      <c r="E17" s="65"/>
      <c r="F17" s="43"/>
      <c r="G17" s="38"/>
      <c r="H17" s="38"/>
      <c r="I17" s="38"/>
      <c r="J17" s="59"/>
      <c r="K17" s="60"/>
      <c r="L17" s="63"/>
      <c r="M17" s="63"/>
      <c r="N17" s="63"/>
      <c r="O17" s="63"/>
    </row>
    <row r="18" spans="1:15" s="64" customFormat="1" ht="14" x14ac:dyDescent="0.15">
      <c r="A18" s="56"/>
      <c r="B18" s="57"/>
      <c r="C18" s="58"/>
      <c r="D18" s="65"/>
      <c r="E18" s="65"/>
      <c r="F18" s="43"/>
      <c r="G18" s="58"/>
      <c r="H18" s="58"/>
      <c r="I18" s="58"/>
      <c r="J18" s="68"/>
      <c r="K18" s="60"/>
      <c r="L18" s="63"/>
      <c r="M18" s="63"/>
      <c r="N18" s="63"/>
      <c r="O18" s="63"/>
    </row>
    <row r="19" spans="1:15" s="64" customFormat="1" ht="14" x14ac:dyDescent="0.15">
      <c r="A19" s="56"/>
      <c r="B19" s="57"/>
      <c r="C19" s="58"/>
      <c r="D19" s="65"/>
      <c r="E19" s="65"/>
      <c r="F19" s="43"/>
      <c r="G19" s="38"/>
      <c r="H19" s="38"/>
      <c r="I19" s="38"/>
      <c r="J19" s="59"/>
      <c r="K19" s="60"/>
      <c r="L19" s="63"/>
      <c r="M19" s="63"/>
      <c r="N19" s="63"/>
      <c r="O19" s="63"/>
    </row>
    <row r="20" spans="1:15" s="64" customFormat="1" ht="14" x14ac:dyDescent="0.15">
      <c r="A20" s="56"/>
      <c r="B20" s="57"/>
      <c r="C20" s="58"/>
      <c r="D20" s="65"/>
      <c r="E20" s="65"/>
      <c r="F20" s="43"/>
      <c r="G20" s="38"/>
      <c r="H20" s="38"/>
      <c r="I20" s="38"/>
      <c r="J20" s="59"/>
      <c r="K20" s="60"/>
      <c r="L20" s="63"/>
      <c r="M20" s="63"/>
      <c r="N20" s="63"/>
      <c r="O20" s="63"/>
    </row>
    <row r="21" spans="1:15" s="64" customFormat="1" ht="14" x14ac:dyDescent="0.15">
      <c r="A21" s="56"/>
      <c r="B21" s="57"/>
      <c r="C21" s="58"/>
      <c r="D21" s="65"/>
      <c r="E21" s="65"/>
      <c r="F21" s="43"/>
      <c r="G21" s="38"/>
      <c r="H21" s="38"/>
      <c r="I21" s="38"/>
      <c r="J21" s="59"/>
      <c r="K21" s="60"/>
      <c r="L21" s="63"/>
      <c r="M21" s="63"/>
      <c r="N21" s="63"/>
      <c r="O21" s="63"/>
    </row>
    <row r="22" spans="1:15" s="64" customFormat="1" ht="14" x14ac:dyDescent="0.15">
      <c r="A22" s="56"/>
      <c r="B22" s="57"/>
      <c r="C22" s="58"/>
      <c r="D22" s="65"/>
      <c r="E22" s="65"/>
      <c r="F22" s="43"/>
      <c r="G22" s="38"/>
      <c r="H22" s="38"/>
      <c r="I22" s="38"/>
      <c r="J22" s="59"/>
      <c r="K22" s="60"/>
      <c r="L22" s="63"/>
      <c r="M22" s="63"/>
      <c r="N22" s="63"/>
      <c r="O22" s="63"/>
    </row>
    <row r="23" spans="1:15" s="64" customFormat="1" ht="14" x14ac:dyDescent="0.15">
      <c r="A23" s="56"/>
      <c r="B23" s="57"/>
      <c r="C23" s="58"/>
      <c r="D23" s="65"/>
      <c r="E23" s="65"/>
      <c r="F23" s="43"/>
      <c r="G23" s="38"/>
      <c r="H23" s="38"/>
      <c r="I23" s="38"/>
      <c r="J23" s="59"/>
      <c r="K23" s="60"/>
      <c r="L23" s="63"/>
      <c r="M23" s="63"/>
      <c r="N23" s="63"/>
      <c r="O23" s="63"/>
    </row>
    <row r="24" spans="1:15" s="64" customFormat="1" ht="14" x14ac:dyDescent="0.15">
      <c r="A24" s="56"/>
      <c r="B24" s="57"/>
      <c r="C24" s="58"/>
      <c r="D24" s="65"/>
      <c r="E24" s="65"/>
      <c r="F24" s="43"/>
      <c r="G24" s="38"/>
      <c r="H24" s="38"/>
      <c r="I24" s="38"/>
      <c r="J24" s="59"/>
      <c r="K24" s="60"/>
      <c r="L24" s="63"/>
      <c r="M24" s="63"/>
      <c r="N24" s="63"/>
      <c r="O24" s="63"/>
    </row>
    <row r="25" spans="1:15" s="64" customFormat="1" ht="14" x14ac:dyDescent="0.15">
      <c r="A25" s="56"/>
      <c r="B25" s="57"/>
      <c r="C25" s="58"/>
      <c r="D25" s="65"/>
      <c r="E25" s="65"/>
      <c r="F25" s="43"/>
      <c r="G25" s="38"/>
      <c r="H25" s="38"/>
      <c r="I25" s="38"/>
      <c r="J25" s="59"/>
      <c r="K25" s="60"/>
      <c r="L25" s="63"/>
      <c r="M25" s="63"/>
      <c r="N25" s="63"/>
      <c r="O25" s="63"/>
    </row>
    <row r="26" spans="1:15" s="64" customFormat="1" ht="14" x14ac:dyDescent="0.15">
      <c r="A26" s="56"/>
      <c r="B26" s="57"/>
      <c r="C26" s="58"/>
      <c r="D26" s="65"/>
      <c r="E26" s="65"/>
      <c r="F26" s="43"/>
      <c r="G26" s="58"/>
      <c r="H26" s="58"/>
      <c r="I26" s="58"/>
      <c r="J26" s="68"/>
      <c r="K26" s="69"/>
      <c r="L26" s="63"/>
      <c r="M26" s="63"/>
      <c r="N26" s="63"/>
      <c r="O26" s="63"/>
    </row>
    <row r="27" spans="1:15" s="64" customFormat="1" ht="14" x14ac:dyDescent="0.15">
      <c r="A27" s="56"/>
      <c r="B27" s="57"/>
      <c r="C27" s="58"/>
      <c r="D27" s="65"/>
      <c r="E27" s="65"/>
      <c r="F27" s="43"/>
      <c r="G27" s="38"/>
      <c r="H27" s="38"/>
      <c r="I27" s="38"/>
      <c r="J27" s="59"/>
      <c r="K27" s="69"/>
      <c r="L27" s="63"/>
      <c r="M27" s="63"/>
      <c r="N27" s="63"/>
      <c r="O27" s="63"/>
    </row>
    <row r="28" spans="1:15" s="64" customFormat="1" ht="14" x14ac:dyDescent="0.15">
      <c r="A28" s="70"/>
      <c r="B28" s="57"/>
      <c r="C28" s="38"/>
      <c r="D28" s="50"/>
      <c r="E28" s="50"/>
      <c r="F28" s="43"/>
      <c r="G28" s="38"/>
      <c r="H28" s="38"/>
      <c r="I28" s="38"/>
      <c r="J28" s="38"/>
      <c r="K28" s="60"/>
      <c r="L28" s="63"/>
      <c r="M28" s="63"/>
      <c r="N28" s="63"/>
      <c r="O28" s="63"/>
    </row>
  </sheetData>
  <sortState xmlns:xlrd2="http://schemas.microsoft.com/office/spreadsheetml/2017/richdata2" ref="A1:K28">
    <sortCondition ref="C1:C28"/>
  </sortState>
  <dataValidations count="1">
    <dataValidation type="list" allowBlank="1" showInputMessage="1" showErrorMessage="1" sqref="E1:E28" xr:uid="{3451CF83-F518-4E2C-9C44-860C642979B8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E886-D201-49CA-A956-191CA1A2A7DB}">
  <dimension ref="A1:J36"/>
  <sheetViews>
    <sheetView topLeftCell="A10" workbookViewId="0">
      <selection activeCell="A10" sqref="A1:XFD1048576"/>
    </sheetView>
  </sheetViews>
  <sheetFormatPr baseColWidth="10" defaultColWidth="8.6640625" defaultRowHeight="15" x14ac:dyDescent="0.2"/>
  <cols>
    <col min="1" max="2" width="8.6640625" style="71"/>
    <col min="3" max="3" width="30.83203125" style="71" customWidth="1"/>
    <col min="4" max="4" width="17.6640625" style="71" customWidth="1"/>
    <col min="5" max="5" width="35" style="71" customWidth="1"/>
    <col min="6" max="16384" width="8.6640625" style="71"/>
  </cols>
  <sheetData>
    <row r="1" spans="1:10" x14ac:dyDescent="0.2">
      <c r="A1" s="34"/>
      <c r="B1" s="35"/>
      <c r="C1" s="36"/>
      <c r="D1" s="36"/>
      <c r="E1" s="43"/>
      <c r="F1" s="38"/>
      <c r="G1" s="38"/>
      <c r="H1" s="38"/>
      <c r="I1" s="38"/>
      <c r="J1" s="39"/>
    </row>
    <row r="2" spans="1:10" x14ac:dyDescent="0.2">
      <c r="A2" s="34"/>
      <c r="B2" s="35"/>
      <c r="C2" s="40"/>
      <c r="D2" s="40"/>
      <c r="E2" s="42"/>
      <c r="F2" s="42"/>
      <c r="G2" s="42"/>
      <c r="H2" s="42"/>
      <c r="I2" s="42"/>
      <c r="J2" s="44"/>
    </row>
    <row r="3" spans="1:10" x14ac:dyDescent="0.2">
      <c r="A3" s="34"/>
      <c r="B3" s="35"/>
      <c r="C3" s="40"/>
      <c r="D3" s="40"/>
      <c r="E3" s="41"/>
      <c r="F3" s="42"/>
      <c r="G3" s="42"/>
      <c r="H3" s="42"/>
      <c r="I3" s="42"/>
      <c r="J3" s="39"/>
    </row>
    <row r="4" spans="1:10" x14ac:dyDescent="0.2">
      <c r="A4" s="34"/>
      <c r="B4" s="35"/>
      <c r="C4" s="36"/>
      <c r="D4" s="36"/>
      <c r="E4" s="43"/>
      <c r="F4" s="38"/>
      <c r="G4" s="38"/>
      <c r="H4" s="38"/>
      <c r="I4" s="38"/>
      <c r="J4" s="44"/>
    </row>
    <row r="5" spans="1:10" x14ac:dyDescent="0.2">
      <c r="A5" s="34"/>
      <c r="B5" s="35"/>
      <c r="C5" s="40"/>
      <c r="D5" s="51"/>
      <c r="E5" s="42"/>
      <c r="F5" s="42"/>
      <c r="G5" s="42"/>
      <c r="H5" s="42"/>
      <c r="I5" s="42"/>
      <c r="J5" s="44"/>
    </row>
    <row r="6" spans="1:10" x14ac:dyDescent="0.2">
      <c r="A6" s="34"/>
      <c r="B6" s="35"/>
      <c r="C6" s="36"/>
      <c r="D6" s="50"/>
      <c r="E6" s="38"/>
      <c r="F6" s="38"/>
      <c r="G6" s="38"/>
      <c r="H6" s="38"/>
      <c r="I6" s="38"/>
      <c r="J6" s="39"/>
    </row>
    <row r="7" spans="1:10" x14ac:dyDescent="0.2">
      <c r="A7" s="34"/>
      <c r="B7" s="35"/>
      <c r="C7" s="36"/>
      <c r="D7" s="50"/>
      <c r="E7" s="43"/>
      <c r="F7" s="38"/>
      <c r="G7" s="38"/>
      <c r="H7" s="38"/>
      <c r="I7" s="38"/>
      <c r="J7" s="39"/>
    </row>
    <row r="8" spans="1:10" x14ac:dyDescent="0.2">
      <c r="A8" s="34"/>
      <c r="B8" s="35"/>
      <c r="C8" s="40"/>
      <c r="D8" s="51"/>
      <c r="E8" s="45"/>
      <c r="F8" s="42"/>
      <c r="G8" s="42"/>
      <c r="H8" s="42"/>
      <c r="I8" s="42"/>
      <c r="J8" s="39"/>
    </row>
    <row r="9" spans="1:10" x14ac:dyDescent="0.2">
      <c r="A9" s="34"/>
      <c r="B9" s="35"/>
      <c r="C9" s="40"/>
      <c r="D9" s="40"/>
      <c r="E9" s="42"/>
      <c r="F9" s="49"/>
      <c r="G9" s="49"/>
      <c r="H9" s="49"/>
      <c r="I9" s="49"/>
      <c r="J9" s="48"/>
    </row>
    <row r="10" spans="1:10" x14ac:dyDescent="0.2">
      <c r="A10" s="34"/>
      <c r="B10" s="35"/>
      <c r="C10" s="36"/>
      <c r="D10" s="36"/>
      <c r="E10" s="43"/>
      <c r="F10" s="35"/>
      <c r="G10" s="35"/>
      <c r="H10" s="35"/>
      <c r="I10" s="35"/>
      <c r="J10" s="47"/>
    </row>
    <row r="11" spans="1:10" x14ac:dyDescent="0.2">
      <c r="A11" s="34"/>
      <c r="B11" s="35"/>
      <c r="C11" s="40"/>
      <c r="D11" s="40"/>
      <c r="E11" s="45"/>
      <c r="F11" s="49"/>
      <c r="G11" s="49"/>
      <c r="H11" s="49"/>
      <c r="I11" s="49"/>
      <c r="J11" s="48"/>
    </row>
    <row r="12" spans="1:10" x14ac:dyDescent="0.2">
      <c r="A12" s="34"/>
      <c r="B12" s="35"/>
      <c r="C12" s="36"/>
      <c r="D12" s="50"/>
      <c r="E12" s="43"/>
      <c r="F12" s="38"/>
      <c r="G12" s="38"/>
      <c r="H12" s="38"/>
      <c r="I12" s="38"/>
      <c r="J12" s="39"/>
    </row>
    <row r="13" spans="1:10" x14ac:dyDescent="0.2">
      <c r="A13" s="34"/>
      <c r="B13" s="35"/>
      <c r="C13" s="50"/>
      <c r="D13" s="50"/>
      <c r="E13" s="38"/>
      <c r="F13" s="38"/>
      <c r="G13" s="38"/>
      <c r="H13" s="38"/>
      <c r="I13" s="38"/>
      <c r="J13" s="44"/>
    </row>
    <row r="14" spans="1:10" x14ac:dyDescent="0.2">
      <c r="A14" s="34"/>
      <c r="B14" s="35"/>
      <c r="C14" s="51"/>
      <c r="D14" s="51"/>
      <c r="E14" s="42"/>
      <c r="F14" s="42"/>
      <c r="G14" s="42"/>
      <c r="H14" s="42"/>
      <c r="I14" s="42"/>
      <c r="J14" s="39"/>
    </row>
    <row r="15" spans="1:10" x14ac:dyDescent="0.2">
      <c r="A15" s="34"/>
      <c r="B15" s="35"/>
      <c r="C15" s="50"/>
      <c r="D15" s="50"/>
      <c r="E15" s="43"/>
      <c r="F15" s="38"/>
      <c r="G15" s="38"/>
      <c r="H15" s="38"/>
      <c r="I15" s="38"/>
      <c r="J15" s="44"/>
    </row>
    <row r="16" spans="1:10" x14ac:dyDescent="0.2">
      <c r="A16" s="34"/>
      <c r="B16" s="35"/>
      <c r="C16" s="51"/>
      <c r="D16" s="51"/>
      <c r="E16" s="45"/>
      <c r="F16" s="42"/>
      <c r="G16" s="42"/>
      <c r="H16" s="42"/>
      <c r="I16" s="42"/>
      <c r="J16" s="44"/>
    </row>
    <row r="17" spans="1:10" x14ac:dyDescent="0.2">
      <c r="A17" s="34"/>
      <c r="B17" s="35"/>
      <c r="C17" s="51"/>
      <c r="D17" s="51"/>
      <c r="E17" s="45"/>
      <c r="F17" s="42"/>
      <c r="G17" s="42"/>
      <c r="H17" s="42"/>
      <c r="I17" s="42"/>
      <c r="J17" s="39"/>
    </row>
    <row r="18" spans="1:10" x14ac:dyDescent="0.2">
      <c r="A18" s="34"/>
      <c r="B18" s="35"/>
      <c r="C18" s="51"/>
      <c r="D18" s="51"/>
      <c r="E18" s="42"/>
      <c r="F18" s="42"/>
      <c r="G18" s="42"/>
      <c r="H18" s="42"/>
      <c r="I18" s="42"/>
      <c r="J18" s="72"/>
    </row>
    <row r="19" spans="1:10" x14ac:dyDescent="0.2">
      <c r="A19" s="34"/>
      <c r="B19" s="35"/>
      <c r="C19" s="51"/>
      <c r="D19" s="51"/>
      <c r="E19" s="42"/>
      <c r="F19" s="42"/>
      <c r="G19" s="42"/>
      <c r="H19" s="42"/>
      <c r="I19" s="42"/>
      <c r="J19" s="44"/>
    </row>
    <row r="20" spans="1:10" x14ac:dyDescent="0.2">
      <c r="A20" s="34"/>
      <c r="B20" s="35"/>
      <c r="C20" s="36"/>
      <c r="D20" s="36"/>
      <c r="E20" s="43"/>
      <c r="F20" s="35"/>
      <c r="G20" s="35"/>
      <c r="H20" s="35"/>
      <c r="I20" s="35"/>
      <c r="J20" s="48"/>
    </row>
    <row r="21" spans="1:10" x14ac:dyDescent="0.2">
      <c r="A21" s="34"/>
      <c r="B21" s="35"/>
      <c r="C21" s="50"/>
      <c r="D21" s="50"/>
      <c r="E21" s="38"/>
      <c r="F21" s="38"/>
      <c r="G21" s="38"/>
      <c r="H21" s="38"/>
      <c r="I21" s="38"/>
      <c r="J21" s="39"/>
    </row>
    <row r="22" spans="1:10" x14ac:dyDescent="0.2">
      <c r="A22" s="34"/>
      <c r="B22" s="35"/>
      <c r="C22" s="51"/>
      <c r="D22" s="51"/>
      <c r="E22" s="45"/>
      <c r="F22" s="42"/>
      <c r="G22" s="42"/>
      <c r="H22" s="42"/>
      <c r="I22" s="42"/>
      <c r="J22" s="39"/>
    </row>
    <row r="23" spans="1:10" x14ac:dyDescent="0.2">
      <c r="A23" s="34"/>
      <c r="B23" s="35"/>
      <c r="C23" s="50"/>
      <c r="D23" s="50"/>
      <c r="E23" s="38"/>
      <c r="F23" s="38"/>
      <c r="G23" s="38"/>
      <c r="H23" s="38"/>
      <c r="I23" s="38"/>
      <c r="J23" s="44"/>
    </row>
    <row r="24" spans="1:10" x14ac:dyDescent="0.2">
      <c r="A24" s="34"/>
      <c r="B24" s="35"/>
      <c r="C24" s="51"/>
      <c r="D24" s="51"/>
      <c r="E24" s="45"/>
      <c r="F24" s="42"/>
      <c r="G24" s="42"/>
      <c r="H24" s="42"/>
      <c r="I24" s="42"/>
      <c r="J24" s="39"/>
    </row>
    <row r="25" spans="1:10" x14ac:dyDescent="0.2">
      <c r="A25" s="34"/>
      <c r="B25" s="35"/>
      <c r="C25" s="50"/>
      <c r="D25" s="50"/>
      <c r="E25" s="43"/>
      <c r="F25" s="38"/>
      <c r="G25" s="38"/>
      <c r="H25" s="38"/>
      <c r="I25" s="38"/>
      <c r="J25" s="44"/>
    </row>
    <row r="26" spans="1:10" x14ac:dyDescent="0.2">
      <c r="A26" s="34"/>
      <c r="B26" s="35"/>
      <c r="C26" s="51"/>
      <c r="D26" s="51"/>
      <c r="E26" s="45"/>
      <c r="F26" s="42"/>
      <c r="G26" s="42"/>
      <c r="H26" s="42"/>
      <c r="I26" s="42"/>
      <c r="J26" s="39"/>
    </row>
    <row r="27" spans="1:10" x14ac:dyDescent="0.2">
      <c r="A27" s="34"/>
      <c r="B27" s="35"/>
      <c r="C27" s="51"/>
      <c r="D27" s="51"/>
      <c r="E27" s="42"/>
      <c r="F27" s="42"/>
      <c r="G27" s="42"/>
      <c r="H27" s="42"/>
      <c r="I27" s="42"/>
      <c r="J27" s="44"/>
    </row>
    <row r="28" spans="1:10" x14ac:dyDescent="0.2">
      <c r="A28" s="34"/>
      <c r="B28" s="35"/>
      <c r="C28" s="50"/>
      <c r="D28" s="50"/>
      <c r="E28" s="38"/>
      <c r="F28" s="38"/>
      <c r="G28" s="38"/>
      <c r="H28" s="38"/>
      <c r="I28" s="38"/>
      <c r="J28" s="39"/>
    </row>
    <row r="29" spans="1:10" x14ac:dyDescent="0.2">
      <c r="A29" s="34"/>
      <c r="B29" s="35"/>
      <c r="C29" s="36"/>
      <c r="D29" s="36"/>
      <c r="E29" s="38"/>
      <c r="F29" s="35"/>
      <c r="G29" s="35"/>
      <c r="H29" s="35"/>
      <c r="I29" s="35"/>
      <c r="J29" s="48"/>
    </row>
    <row r="30" spans="1:10" x14ac:dyDescent="0.2">
      <c r="A30" s="34"/>
      <c r="B30" s="35"/>
      <c r="C30" s="51"/>
      <c r="D30" s="51"/>
      <c r="E30" s="45"/>
      <c r="F30" s="42"/>
      <c r="G30" s="42"/>
      <c r="H30" s="42"/>
      <c r="I30" s="42"/>
      <c r="J30" s="72"/>
    </row>
    <row r="31" spans="1:10" x14ac:dyDescent="0.2">
      <c r="A31" s="34"/>
      <c r="B31" s="35"/>
      <c r="C31" s="50"/>
      <c r="D31" s="50"/>
      <c r="E31" s="38"/>
      <c r="F31" s="38"/>
      <c r="G31" s="38"/>
      <c r="H31" s="38"/>
      <c r="I31" s="38"/>
      <c r="J31" s="44"/>
    </row>
    <row r="32" spans="1:10" x14ac:dyDescent="0.2">
      <c r="A32" s="34"/>
      <c r="B32" s="35"/>
      <c r="C32" s="51"/>
      <c r="D32" s="51"/>
      <c r="E32" s="42"/>
      <c r="F32" s="42"/>
      <c r="G32" s="42"/>
      <c r="H32" s="42"/>
      <c r="I32" s="42"/>
      <c r="J32" s="39"/>
    </row>
    <row r="33" spans="1:10" x14ac:dyDescent="0.2">
      <c r="A33" s="34"/>
      <c r="B33" s="35"/>
      <c r="C33" s="50"/>
      <c r="D33" s="50"/>
      <c r="E33" s="43"/>
      <c r="F33" s="38"/>
      <c r="G33" s="38"/>
      <c r="H33" s="38"/>
      <c r="I33" s="38"/>
      <c r="J33" s="39"/>
    </row>
    <row r="34" spans="1:10" x14ac:dyDescent="0.2">
      <c r="A34" s="34"/>
      <c r="B34" s="35"/>
      <c r="C34" s="50"/>
      <c r="D34" s="50"/>
      <c r="E34" s="43"/>
      <c r="F34" s="38"/>
      <c r="G34" s="38"/>
      <c r="H34" s="38"/>
      <c r="I34" s="38"/>
      <c r="J34" s="44"/>
    </row>
    <row r="35" spans="1:10" x14ac:dyDescent="0.2">
      <c r="A35" s="34"/>
      <c r="B35" s="35"/>
      <c r="C35" s="50"/>
      <c r="D35" s="50"/>
      <c r="E35" s="43"/>
      <c r="F35" s="38"/>
      <c r="G35" s="38"/>
      <c r="H35" s="38"/>
      <c r="I35" s="38"/>
      <c r="J35" s="39"/>
    </row>
    <row r="36" spans="1:10" x14ac:dyDescent="0.2">
      <c r="A36" s="34"/>
      <c r="B36" s="35"/>
      <c r="C36" s="51"/>
      <c r="D36" s="51"/>
      <c r="E36" s="45"/>
      <c r="F36" s="42"/>
      <c r="G36" s="42"/>
      <c r="H36" s="42"/>
      <c r="I36" s="42"/>
      <c r="J36" s="44"/>
    </row>
  </sheetData>
  <sortState xmlns:xlrd2="http://schemas.microsoft.com/office/spreadsheetml/2017/richdata2" ref="A2:J36">
    <sortCondition ref="D1:D36"/>
  </sortState>
  <dataValidations count="2">
    <dataValidation type="list" allowBlank="1" showInputMessage="1" showErrorMessage="1" sqref="D1:D4" xr:uid="{FA962B59-C1E8-43D1-A6D1-E00A16BBFB94}">
      <formula1>"ЭИ,ДЦ,ФПП,ФОП,ОБП,РПУ,ПА,Картирование,5С,СР,СМЕД,АО,ОЕЕ,МРП"</formula1>
    </dataValidation>
    <dataValidation type="list" allowBlank="1" showInputMessage="1" showErrorMessage="1" sqref="D5:D36" xr:uid="{7BAC7442-E7CF-46AD-A85A-B7237357F1BF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A5C1-38E6-47D2-96C6-3ECE4A147625}">
  <dimension ref="A1:J53"/>
  <sheetViews>
    <sheetView topLeftCell="A34" workbookViewId="0">
      <selection activeCell="A34" sqref="A1:XFD1048576"/>
    </sheetView>
  </sheetViews>
  <sheetFormatPr baseColWidth="10" defaultColWidth="8.6640625" defaultRowHeight="15" x14ac:dyDescent="0.2"/>
  <cols>
    <col min="1" max="2" width="8.6640625" style="71"/>
    <col min="3" max="3" width="32" style="71" customWidth="1"/>
    <col min="4" max="4" width="19.1640625" style="71" customWidth="1"/>
    <col min="5" max="5" width="34.5" style="71" customWidth="1"/>
    <col min="6" max="16384" width="8.6640625" style="71"/>
  </cols>
  <sheetData>
    <row r="1" spans="1:10" x14ac:dyDescent="0.2">
      <c r="A1" s="34"/>
      <c r="B1" s="35"/>
      <c r="C1" s="50"/>
      <c r="D1" s="50"/>
      <c r="E1" s="43"/>
      <c r="F1" s="38"/>
      <c r="G1" s="38"/>
      <c r="H1" s="38"/>
      <c r="I1" s="38"/>
      <c r="J1" s="46"/>
    </row>
    <row r="2" spans="1:10" x14ac:dyDescent="0.2">
      <c r="A2" s="34"/>
      <c r="B2" s="35"/>
      <c r="C2" s="51"/>
      <c r="D2" s="51"/>
      <c r="E2" s="45"/>
      <c r="F2" s="42"/>
      <c r="G2" s="42"/>
      <c r="H2" s="42"/>
      <c r="I2" s="42"/>
      <c r="J2" s="39"/>
    </row>
    <row r="3" spans="1:10" x14ac:dyDescent="0.2">
      <c r="A3" s="34"/>
      <c r="B3" s="35"/>
      <c r="C3" s="51"/>
      <c r="D3" s="51"/>
      <c r="E3" s="45"/>
      <c r="F3" s="42"/>
      <c r="G3" s="42"/>
      <c r="H3" s="42"/>
      <c r="I3" s="42"/>
      <c r="J3" s="39"/>
    </row>
    <row r="4" spans="1:10" x14ac:dyDescent="0.2">
      <c r="A4" s="34"/>
      <c r="B4" s="35"/>
      <c r="C4" s="50"/>
      <c r="D4" s="50"/>
      <c r="E4" s="38"/>
      <c r="F4" s="38"/>
      <c r="G4" s="38"/>
      <c r="H4" s="38"/>
      <c r="I4" s="38"/>
      <c r="J4" s="39"/>
    </row>
    <row r="5" spans="1:10" x14ac:dyDescent="0.2">
      <c r="A5" s="34"/>
      <c r="B5" s="35"/>
      <c r="C5" s="50"/>
      <c r="D5" s="50"/>
      <c r="E5" s="43"/>
      <c r="F5" s="38"/>
      <c r="G5" s="38"/>
      <c r="H5" s="38"/>
      <c r="I5" s="38"/>
      <c r="J5" s="39"/>
    </row>
    <row r="6" spans="1:10" x14ac:dyDescent="0.2">
      <c r="A6" s="34"/>
      <c r="B6" s="35"/>
      <c r="C6" s="50"/>
      <c r="D6" s="50"/>
      <c r="E6" s="43"/>
      <c r="F6" s="38"/>
      <c r="G6" s="38"/>
      <c r="H6" s="38"/>
      <c r="I6" s="38"/>
      <c r="J6" s="39"/>
    </row>
    <row r="7" spans="1:10" x14ac:dyDescent="0.2">
      <c r="A7" s="34"/>
      <c r="B7" s="35"/>
      <c r="C7" s="51"/>
      <c r="D7" s="51"/>
      <c r="E7" s="45"/>
      <c r="F7" s="42"/>
      <c r="G7" s="42"/>
      <c r="H7" s="42"/>
      <c r="I7" s="42"/>
      <c r="J7" s="39"/>
    </row>
    <row r="8" spans="1:10" x14ac:dyDescent="0.2">
      <c r="A8" s="34"/>
      <c r="B8" s="35"/>
      <c r="C8" s="51"/>
      <c r="D8" s="51"/>
      <c r="E8" s="45"/>
      <c r="F8" s="42"/>
      <c r="G8" s="42"/>
      <c r="H8" s="42"/>
      <c r="I8" s="42"/>
      <c r="J8" s="39"/>
    </row>
    <row r="9" spans="1:10" x14ac:dyDescent="0.2">
      <c r="A9" s="34"/>
      <c r="B9" s="35"/>
      <c r="C9" s="50"/>
      <c r="D9" s="50"/>
      <c r="E9" s="43"/>
      <c r="F9" s="38"/>
      <c r="G9" s="38"/>
      <c r="H9" s="38"/>
      <c r="I9" s="38"/>
      <c r="J9" s="39"/>
    </row>
    <row r="10" spans="1:10" x14ac:dyDescent="0.2">
      <c r="A10" s="34"/>
      <c r="B10" s="35"/>
      <c r="C10" s="50"/>
      <c r="D10" s="50"/>
      <c r="E10" s="43"/>
      <c r="F10" s="38"/>
      <c r="G10" s="38"/>
      <c r="H10" s="38"/>
      <c r="I10" s="38"/>
      <c r="J10" s="39"/>
    </row>
    <row r="11" spans="1:10" x14ac:dyDescent="0.2">
      <c r="A11" s="34"/>
      <c r="B11" s="35"/>
      <c r="C11" s="50"/>
      <c r="D11" s="50"/>
      <c r="E11" s="43"/>
      <c r="F11" s="38"/>
      <c r="G11" s="38"/>
      <c r="H11" s="38"/>
      <c r="I11" s="38"/>
      <c r="J11" s="39"/>
    </row>
    <row r="12" spans="1:10" x14ac:dyDescent="0.2">
      <c r="A12" s="34"/>
      <c r="B12" s="35"/>
      <c r="C12" s="50"/>
      <c r="D12" s="50"/>
      <c r="E12" s="43"/>
      <c r="F12" s="38"/>
      <c r="G12" s="38"/>
      <c r="H12" s="38"/>
      <c r="I12" s="38"/>
      <c r="J12" s="39"/>
    </row>
    <row r="13" spans="1:10" x14ac:dyDescent="0.2">
      <c r="A13" s="34"/>
      <c r="B13" s="35"/>
      <c r="C13" s="50"/>
      <c r="D13" s="50"/>
      <c r="E13" s="43"/>
      <c r="F13" s="38"/>
      <c r="G13" s="38"/>
      <c r="H13" s="38"/>
      <c r="I13" s="38"/>
      <c r="J13" s="39"/>
    </row>
    <row r="14" spans="1:10" x14ac:dyDescent="0.2">
      <c r="A14" s="34"/>
      <c r="B14" s="35"/>
      <c r="C14" s="51"/>
      <c r="D14" s="51"/>
      <c r="E14" s="45"/>
      <c r="F14" s="42"/>
      <c r="G14" s="42"/>
      <c r="H14" s="42"/>
      <c r="I14" s="42"/>
      <c r="J14" s="44"/>
    </row>
    <row r="15" spans="1:10" x14ac:dyDescent="0.2">
      <c r="A15" s="34"/>
      <c r="B15" s="35"/>
      <c r="C15" s="50"/>
      <c r="D15" s="50"/>
      <c r="E15" s="43"/>
      <c r="F15" s="38"/>
      <c r="G15" s="38"/>
      <c r="H15" s="38"/>
      <c r="I15" s="38"/>
      <c r="J15" s="39"/>
    </row>
    <row r="16" spans="1:10" x14ac:dyDescent="0.2">
      <c r="A16" s="34"/>
      <c r="B16" s="35"/>
      <c r="C16" s="51"/>
      <c r="D16" s="51"/>
      <c r="E16" s="45"/>
      <c r="F16" s="42"/>
      <c r="G16" s="42"/>
      <c r="H16" s="42"/>
      <c r="I16" s="42"/>
      <c r="J16" s="46"/>
    </row>
    <row r="17" spans="1:10" x14ac:dyDescent="0.2">
      <c r="A17" s="34"/>
      <c r="B17" s="35"/>
      <c r="C17" s="36"/>
      <c r="D17" s="36"/>
      <c r="E17" s="37"/>
      <c r="F17" s="35"/>
      <c r="G17" s="35"/>
      <c r="H17" s="35"/>
      <c r="I17" s="35"/>
      <c r="J17" s="48"/>
    </row>
    <row r="18" spans="1:10" x14ac:dyDescent="0.2">
      <c r="A18" s="34"/>
      <c r="B18" s="35"/>
      <c r="C18" s="51"/>
      <c r="D18" s="51"/>
      <c r="E18" s="45"/>
      <c r="F18" s="42"/>
      <c r="G18" s="42"/>
      <c r="H18" s="42"/>
      <c r="I18" s="42"/>
      <c r="J18" s="39"/>
    </row>
    <row r="19" spans="1:10" x14ac:dyDescent="0.2">
      <c r="A19" s="34"/>
      <c r="B19" s="35"/>
      <c r="C19" s="51"/>
      <c r="D19" s="51"/>
      <c r="E19" s="45"/>
      <c r="F19" s="42"/>
      <c r="G19" s="42"/>
      <c r="H19" s="42"/>
      <c r="I19" s="42"/>
      <c r="J19" s="39"/>
    </row>
    <row r="20" spans="1:10" x14ac:dyDescent="0.2">
      <c r="A20" s="34"/>
      <c r="B20" s="35"/>
      <c r="C20" s="50"/>
      <c r="D20" s="50"/>
      <c r="E20" s="43"/>
      <c r="F20" s="38"/>
      <c r="G20" s="38"/>
      <c r="H20" s="38"/>
      <c r="I20" s="38"/>
      <c r="J20" s="39"/>
    </row>
    <row r="21" spans="1:10" x14ac:dyDescent="0.2">
      <c r="A21" s="34"/>
      <c r="B21" s="35"/>
      <c r="C21" s="50"/>
      <c r="D21" s="50"/>
      <c r="E21" s="43"/>
      <c r="F21" s="38"/>
      <c r="G21" s="38"/>
      <c r="H21" s="38"/>
      <c r="I21" s="38"/>
      <c r="J21" s="44"/>
    </row>
    <row r="22" spans="1:10" x14ac:dyDescent="0.2">
      <c r="A22" s="34"/>
      <c r="B22" s="35"/>
      <c r="C22" s="51"/>
      <c r="D22" s="51"/>
      <c r="E22" s="45"/>
      <c r="F22" s="42"/>
      <c r="G22" s="42"/>
      <c r="H22" s="42"/>
      <c r="I22" s="42"/>
      <c r="J22" s="39"/>
    </row>
    <row r="23" spans="1:10" x14ac:dyDescent="0.2">
      <c r="A23" s="34"/>
      <c r="B23" s="35"/>
      <c r="C23" s="51"/>
      <c r="D23" s="51"/>
      <c r="E23" s="45"/>
      <c r="F23" s="42"/>
      <c r="G23" s="42"/>
      <c r="H23" s="42"/>
      <c r="I23" s="42"/>
      <c r="J23" s="39"/>
    </row>
    <row r="24" spans="1:10" x14ac:dyDescent="0.2">
      <c r="A24" s="34"/>
      <c r="B24" s="35"/>
      <c r="C24" s="50"/>
      <c r="D24" s="50"/>
      <c r="E24" s="43"/>
      <c r="F24" s="38"/>
      <c r="G24" s="38"/>
      <c r="H24" s="38"/>
      <c r="I24" s="38"/>
      <c r="J24" s="39"/>
    </row>
    <row r="25" spans="1:10" x14ac:dyDescent="0.2">
      <c r="A25" s="34"/>
      <c r="B25" s="35"/>
      <c r="C25" s="51"/>
      <c r="D25" s="51"/>
      <c r="E25" s="45"/>
      <c r="F25" s="42"/>
      <c r="G25" s="42"/>
      <c r="H25" s="42"/>
      <c r="I25" s="42"/>
      <c r="J25" s="39"/>
    </row>
    <row r="26" spans="1:10" x14ac:dyDescent="0.2">
      <c r="A26" s="34"/>
      <c r="B26" s="35"/>
      <c r="C26" s="51"/>
      <c r="D26" s="51"/>
      <c r="E26" s="45"/>
      <c r="F26" s="42"/>
      <c r="G26" s="42"/>
      <c r="H26" s="42"/>
      <c r="I26" s="42"/>
      <c r="J26" s="44"/>
    </row>
    <row r="27" spans="1:10" x14ac:dyDescent="0.2">
      <c r="A27" s="34"/>
      <c r="B27" s="35"/>
      <c r="C27" s="51"/>
      <c r="D27" s="51"/>
      <c r="E27" s="45"/>
      <c r="F27" s="42"/>
      <c r="G27" s="42"/>
      <c r="H27" s="42"/>
      <c r="I27" s="42"/>
      <c r="J27" s="39"/>
    </row>
    <row r="28" spans="1:10" x14ac:dyDescent="0.2">
      <c r="A28" s="34"/>
      <c r="B28" s="35"/>
      <c r="C28" s="50"/>
      <c r="D28" s="50"/>
      <c r="E28" s="43"/>
      <c r="F28" s="38"/>
      <c r="G28" s="38"/>
      <c r="H28" s="38"/>
      <c r="I28" s="38"/>
      <c r="J28" s="72"/>
    </row>
    <row r="29" spans="1:10" x14ac:dyDescent="0.2">
      <c r="A29" s="34"/>
      <c r="B29" s="35"/>
      <c r="C29" s="50"/>
      <c r="D29" s="50"/>
      <c r="E29" s="43"/>
      <c r="F29" s="38"/>
      <c r="G29" s="38"/>
      <c r="H29" s="38"/>
      <c r="I29" s="38"/>
      <c r="J29" s="39"/>
    </row>
    <row r="30" spans="1:10" x14ac:dyDescent="0.2">
      <c r="A30" s="34"/>
      <c r="B30" s="35"/>
      <c r="C30" s="50"/>
      <c r="D30" s="50"/>
      <c r="E30" s="43"/>
      <c r="F30" s="38"/>
      <c r="G30" s="38"/>
      <c r="H30" s="38"/>
      <c r="I30" s="38"/>
      <c r="J30" s="39"/>
    </row>
    <row r="31" spans="1:10" x14ac:dyDescent="0.2">
      <c r="A31" s="34"/>
      <c r="B31" s="35"/>
      <c r="C31" s="50"/>
      <c r="D31" s="50"/>
      <c r="E31" s="43"/>
      <c r="F31" s="38"/>
      <c r="G31" s="38"/>
      <c r="H31" s="38"/>
      <c r="I31" s="38"/>
      <c r="J31" s="39"/>
    </row>
    <row r="32" spans="1:10" x14ac:dyDescent="0.2">
      <c r="A32" s="34"/>
      <c r="B32" s="35"/>
      <c r="C32" s="40"/>
      <c r="D32" s="40"/>
      <c r="E32" s="45"/>
      <c r="F32" s="49"/>
      <c r="G32" s="49"/>
      <c r="H32" s="49"/>
      <c r="I32" s="49"/>
      <c r="J32" s="47"/>
    </row>
    <row r="33" spans="1:10" x14ac:dyDescent="0.2">
      <c r="A33" s="34"/>
      <c r="B33" s="35"/>
      <c r="C33" s="51"/>
      <c r="D33" s="51"/>
      <c r="E33" s="45"/>
      <c r="F33" s="42"/>
      <c r="G33" s="42"/>
      <c r="H33" s="42"/>
      <c r="I33" s="42"/>
      <c r="J33" s="39"/>
    </row>
    <row r="34" spans="1:10" x14ac:dyDescent="0.2">
      <c r="A34" s="34"/>
      <c r="B34" s="35"/>
      <c r="C34" s="51"/>
      <c r="D34" s="51"/>
      <c r="E34" s="42"/>
      <c r="F34" s="42"/>
      <c r="G34" s="42"/>
      <c r="H34" s="42"/>
      <c r="I34" s="42"/>
      <c r="J34" s="39"/>
    </row>
    <row r="35" spans="1:10" x14ac:dyDescent="0.2">
      <c r="A35" s="34"/>
      <c r="B35" s="35"/>
      <c r="C35" s="51"/>
      <c r="D35" s="51"/>
      <c r="E35" s="45"/>
      <c r="F35" s="42"/>
      <c r="G35" s="42"/>
      <c r="H35" s="42"/>
      <c r="I35" s="42"/>
      <c r="J35" s="39"/>
    </row>
    <row r="36" spans="1:10" x14ac:dyDescent="0.2">
      <c r="A36" s="34"/>
      <c r="B36" s="35"/>
      <c r="C36" s="50"/>
      <c r="D36" s="50"/>
      <c r="E36" s="43"/>
      <c r="F36" s="38"/>
      <c r="G36" s="38"/>
      <c r="H36" s="38"/>
      <c r="I36" s="38"/>
      <c r="J36" s="39"/>
    </row>
    <row r="37" spans="1:10" x14ac:dyDescent="0.2">
      <c r="A37" s="34"/>
      <c r="B37" s="35"/>
      <c r="C37" s="51"/>
      <c r="D37" s="51"/>
      <c r="E37" s="45"/>
      <c r="F37" s="42"/>
      <c r="G37" s="42"/>
      <c r="H37" s="42"/>
      <c r="I37" s="42"/>
      <c r="J37" s="72"/>
    </row>
    <row r="38" spans="1:10" x14ac:dyDescent="0.2">
      <c r="A38" s="34"/>
      <c r="B38" s="35"/>
      <c r="C38" s="51"/>
      <c r="D38" s="51"/>
      <c r="E38" s="45"/>
      <c r="F38" s="42"/>
      <c r="G38" s="42"/>
      <c r="H38" s="42"/>
      <c r="I38" s="42"/>
      <c r="J38" s="39"/>
    </row>
    <row r="39" spans="1:10" x14ac:dyDescent="0.2">
      <c r="A39" s="34"/>
      <c r="B39" s="35"/>
      <c r="C39" s="51"/>
      <c r="D39" s="51"/>
      <c r="E39" s="45"/>
      <c r="F39" s="42"/>
      <c r="G39" s="42"/>
      <c r="H39" s="42"/>
      <c r="I39" s="42"/>
      <c r="J39" s="39"/>
    </row>
    <row r="40" spans="1:10" x14ac:dyDescent="0.2">
      <c r="A40" s="34"/>
      <c r="B40" s="35"/>
      <c r="C40" s="50"/>
      <c r="D40" s="50"/>
      <c r="E40" s="38"/>
      <c r="F40" s="38"/>
      <c r="G40" s="38"/>
      <c r="H40" s="38"/>
      <c r="I40" s="38"/>
      <c r="J40" s="39"/>
    </row>
    <row r="41" spans="1:10" x14ac:dyDescent="0.2">
      <c r="A41" s="34"/>
      <c r="B41" s="35"/>
      <c r="C41" s="50"/>
      <c r="D41" s="50"/>
      <c r="E41" s="43"/>
      <c r="F41" s="38"/>
      <c r="G41" s="38"/>
      <c r="H41" s="38"/>
      <c r="I41" s="38"/>
      <c r="J41" s="39"/>
    </row>
    <row r="42" spans="1:10" x14ac:dyDescent="0.2">
      <c r="A42" s="34"/>
      <c r="B42" s="35"/>
      <c r="C42" s="50"/>
      <c r="D42" s="50"/>
      <c r="E42" s="43"/>
      <c r="F42" s="38"/>
      <c r="G42" s="38"/>
      <c r="H42" s="38"/>
      <c r="I42" s="38"/>
      <c r="J42" s="39"/>
    </row>
    <row r="43" spans="1:10" x14ac:dyDescent="0.2">
      <c r="A43" s="34"/>
      <c r="B43" s="35"/>
      <c r="C43" s="51"/>
      <c r="D43" s="51"/>
      <c r="E43" s="42"/>
      <c r="F43" s="42"/>
      <c r="G43" s="42"/>
      <c r="H43" s="42"/>
      <c r="I43" s="42"/>
      <c r="J43" s="39"/>
    </row>
    <row r="44" spans="1:10" x14ac:dyDescent="0.2">
      <c r="A44" s="34"/>
      <c r="B44" s="35"/>
      <c r="C44" s="51"/>
      <c r="D44" s="51"/>
      <c r="E44" s="45"/>
      <c r="F44" s="42"/>
      <c r="G44" s="42"/>
      <c r="H44" s="42"/>
      <c r="I44" s="42"/>
      <c r="J44" s="39"/>
    </row>
    <row r="45" spans="1:10" x14ac:dyDescent="0.2">
      <c r="A45" s="34"/>
      <c r="B45" s="35"/>
      <c r="C45" s="36"/>
      <c r="D45" s="36"/>
      <c r="E45" s="43"/>
      <c r="F45" s="35"/>
      <c r="G45" s="35"/>
      <c r="H45" s="35"/>
      <c r="I45" s="35"/>
      <c r="J45" s="47"/>
    </row>
    <row r="46" spans="1:10" x14ac:dyDescent="0.2">
      <c r="A46" s="34"/>
      <c r="B46" s="35"/>
      <c r="C46" s="51"/>
      <c r="D46" s="51"/>
      <c r="E46" s="45"/>
      <c r="F46" s="42"/>
      <c r="G46" s="42"/>
      <c r="H46" s="42"/>
      <c r="I46" s="42"/>
      <c r="J46" s="44"/>
    </row>
    <row r="47" spans="1:10" x14ac:dyDescent="0.2">
      <c r="A47" s="34"/>
      <c r="B47" s="35"/>
      <c r="C47" s="50"/>
      <c r="D47" s="50"/>
      <c r="E47" s="43"/>
      <c r="F47" s="38"/>
      <c r="G47" s="38"/>
      <c r="H47" s="38"/>
      <c r="I47" s="38"/>
      <c r="J47" s="39"/>
    </row>
    <row r="48" spans="1:10" x14ac:dyDescent="0.2">
      <c r="A48" s="34"/>
      <c r="B48" s="35"/>
      <c r="C48" s="50"/>
      <c r="D48" s="50"/>
      <c r="E48" s="43"/>
      <c r="F48" s="38"/>
      <c r="G48" s="38"/>
      <c r="H48" s="38"/>
      <c r="I48" s="38"/>
      <c r="J48" s="39"/>
    </row>
    <row r="49" spans="1:10" x14ac:dyDescent="0.2">
      <c r="A49" s="34"/>
      <c r="B49" s="35"/>
      <c r="C49" s="51"/>
      <c r="D49" s="51"/>
      <c r="E49" s="45"/>
      <c r="F49" s="42"/>
      <c r="G49" s="42"/>
      <c r="H49" s="42"/>
      <c r="I49" s="42"/>
      <c r="J49" s="39"/>
    </row>
    <row r="50" spans="1:10" x14ac:dyDescent="0.2">
      <c r="A50" s="34"/>
      <c r="B50" s="35"/>
      <c r="C50" s="50"/>
      <c r="D50" s="50"/>
      <c r="E50" s="43"/>
      <c r="F50" s="38"/>
      <c r="G50" s="38"/>
      <c r="H50" s="38"/>
      <c r="I50" s="38"/>
      <c r="J50" s="46"/>
    </row>
    <row r="51" spans="1:10" x14ac:dyDescent="0.2">
      <c r="A51" s="34"/>
      <c r="B51" s="35"/>
      <c r="C51" s="50"/>
      <c r="D51" s="50"/>
      <c r="E51" s="43"/>
      <c r="F51" s="38"/>
      <c r="G51" s="38"/>
      <c r="H51" s="38"/>
      <c r="I51" s="38"/>
      <c r="J51" s="46"/>
    </row>
    <row r="52" spans="1:10" x14ac:dyDescent="0.2">
      <c r="A52" s="34"/>
      <c r="B52" s="35"/>
      <c r="C52" s="51"/>
      <c r="D52" s="51"/>
      <c r="E52" s="45"/>
      <c r="F52" s="42"/>
      <c r="G52" s="42"/>
      <c r="H52" s="42"/>
      <c r="I52" s="42"/>
      <c r="J52" s="39"/>
    </row>
    <row r="53" spans="1:10" x14ac:dyDescent="0.2">
      <c r="A53" s="34"/>
      <c r="B53" s="35"/>
      <c r="C53" s="51"/>
      <c r="D53" s="51"/>
      <c r="E53" s="42"/>
      <c r="F53" s="42"/>
      <c r="G53" s="42"/>
      <c r="H53" s="42"/>
      <c r="I53" s="42"/>
      <c r="J53" s="39"/>
    </row>
  </sheetData>
  <sortState xmlns:xlrd2="http://schemas.microsoft.com/office/spreadsheetml/2017/richdata2" ref="A2:J53">
    <sortCondition ref="C1:C53"/>
  </sortState>
  <dataValidations count="1">
    <dataValidation type="list" allowBlank="1" showInputMessage="1" showErrorMessage="1" sqref="D1:D53" xr:uid="{06AA5A8F-728B-4CA7-814C-CE90D233EA65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DCEE-F64B-4232-BC39-CCEE53B21BF4}">
  <dimension ref="A1"/>
  <sheetViews>
    <sheetView workbookViewId="0">
      <selection activeCell="F8" sqref="F8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40dfa8-117b-4bd2-b9a9-a5a7d75514fe" xsi:nil="true"/>
    <lcf76f155ced4ddcb4097134ff3c332f xmlns="11a6046c-63f1-4c80-a521-ef7ae251e89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0EC594400F1A24E86B9F1B6D764F6F7" ma:contentTypeVersion="14" ma:contentTypeDescription="Создание документа." ma:contentTypeScope="" ma:versionID="80af868213e5908aaf6648beb9f8a390">
  <xsd:schema xmlns:xsd="http://www.w3.org/2001/XMLSchema" xmlns:xs="http://www.w3.org/2001/XMLSchema" xmlns:p="http://schemas.microsoft.com/office/2006/metadata/properties" xmlns:ns2="11a6046c-63f1-4c80-a521-ef7ae251e897" xmlns:ns3="4040dfa8-117b-4bd2-b9a9-a5a7d75514fe" targetNamespace="http://schemas.microsoft.com/office/2006/metadata/properties" ma:root="true" ma:fieldsID="bbae45399d085722103b1229869eb932" ns2:_="" ns3:_="">
    <xsd:import namespace="11a6046c-63f1-4c80-a521-ef7ae251e897"/>
    <xsd:import namespace="4040dfa8-117b-4bd2-b9a9-a5a7d7551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6046c-63f1-4c80-a521-ef7ae251e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9847d03-d8be-4925-a9f2-3878591b59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0dfa8-117b-4bd2-b9a9-a5a7d75514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3c426c-db4f-4bd3-ae76-76a60e48ccaa}" ma:internalName="TaxCatchAll" ma:showField="CatchAllData" ma:web="4040dfa8-117b-4bd2-b9a9-a5a7d7551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E30A37-77CC-40F9-A649-D88836324085}">
  <ds:schemaRefs>
    <ds:schemaRef ds:uri="http://schemas.microsoft.com/office/2006/metadata/properties"/>
    <ds:schemaRef ds:uri="http://schemas.microsoft.com/office/infopath/2007/PartnerControls"/>
    <ds:schemaRef ds:uri="20f1e087-82f0-4ac0-a6fc-f48ff04a65c7"/>
    <ds:schemaRef ds:uri="16b4bb0b-ff98-4bba-bfd0-da1580ea890c"/>
    <ds:schemaRef ds:uri="4040dfa8-117b-4bd2-b9a9-a5a7d75514fe"/>
    <ds:schemaRef ds:uri="11a6046c-63f1-4c80-a521-ef7ae251e897"/>
  </ds:schemaRefs>
</ds:datastoreItem>
</file>

<file path=customXml/itemProps2.xml><?xml version="1.0" encoding="utf-8"?>
<ds:datastoreItem xmlns:ds="http://schemas.openxmlformats.org/officeDocument/2006/customXml" ds:itemID="{2C88A3D9-6ACB-48BD-895A-7130C5EB4B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a6046c-63f1-4c80-a521-ef7ae251e897"/>
    <ds:schemaRef ds:uri="4040dfa8-117b-4bd2-b9a9-a5a7d7551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98C42D-118E-47F9-926D-C621D096C5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графика по среднему НПС</vt:lpstr>
      <vt:lpstr>Статистика по тренингам</vt:lpstr>
      <vt:lpstr>Статистика по тренерам</vt:lpstr>
      <vt:lpstr>Графика по НПС тренеров</vt:lpstr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'графика по среднему НПС'!Область_печати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ИИ Воробьева</dc:creator>
  <cp:lastModifiedBy>Слиньков Александр</cp:lastModifiedBy>
  <cp:lastPrinted>2026-03-30T10:29:49Z</cp:lastPrinted>
  <dcterms:created xsi:type="dcterms:W3CDTF">2015-06-05T18:17:20Z</dcterms:created>
  <dcterms:modified xsi:type="dcterms:W3CDTF">2026-06-01T15:29:29Z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0x01010070EC594400F1A24E86B9F1B6D764F6F7</vt:lpwstr>
  </property>
  <property fmtid="{D5CDD505-2E9C-101B-9397-08002B2CF9AE}" pid="3" name="MediaServiceImageTags">
    <vt:lpwstr/>
  </property>
</Properties>
</file>